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drawings/drawing1.xml" ContentType="application/vnd.openxmlformats-officedocument.drawing+xml"/>
  <Override PartName="/xl/worksheets/sheet40.xml" ContentType="application/vnd.openxmlformats-officedocument.spreadsheetml.worksheet+xml"/>
  <Override PartName="/xl/drawings/drawing2.xml" ContentType="application/vnd.openxmlformats-officedocument.drawing+xml"/>
  <Override PartName="/xl/worksheets/sheet41.xml" ContentType="application/vnd.openxmlformats-officedocument.spreadsheetml.worksheet+xml"/>
  <Override PartName="/xl/drawings/drawing3.xml" ContentType="application/vnd.openxmlformats-officedocument.drawing+xml"/>
  <Override PartName="/xl/worksheets/sheet42.xml" ContentType="application/vnd.openxmlformats-officedocument.spreadsheetml.worksheet+xml"/>
  <Override PartName="/xl/drawings/drawing4.xml" ContentType="application/vnd.openxmlformats-officedocument.drawing+xml"/>
  <Override PartName="/xl/worksheets/sheet43.xml" ContentType="application/vnd.openxmlformats-officedocument.spreadsheetml.worksheet+xml"/>
  <Override PartName="/xl/drawings/drawing5.xml" ContentType="application/vnd.openxmlformats-officedocument.drawing+xml"/>
  <Override PartName="/xl/worksheets/sheet44.xml" ContentType="application/vnd.openxmlformats-officedocument.spreadsheetml.worksheet+xml"/>
  <Override PartName="/xl/drawings/drawing6.xml" ContentType="application/vnd.openxmlformats-officedocument.drawing+xml"/>
  <Override PartName="/xl/worksheets/sheet45.xml" ContentType="application/vnd.openxmlformats-officedocument.spreadsheetml.worksheet+xml"/>
  <Override PartName="/xl/drawings/drawing7.xml" ContentType="application/vnd.openxmlformats-officedocument.drawing+xml"/>
  <Override PartName="/xl/worksheets/sheet46.xml" ContentType="application/vnd.openxmlformats-officedocument.spreadsheetml.worksheet+xml"/>
  <Override PartName="/xl/drawings/drawing8.xml" ContentType="application/vnd.openxmlformats-officedocument.drawing+xml"/>
  <Override PartName="/xl/worksheets/sheet47.xml" ContentType="application/vnd.openxmlformats-officedocument.spreadsheetml.worksheet+xml"/>
  <Override PartName="/xl/drawings/drawing9.xml" ContentType="application/vnd.openxmlformats-officedocument.drawing+xml"/>
  <Override PartName="/xl/worksheets/sheet48.xml" ContentType="application/vnd.openxmlformats-officedocument.spreadsheetml.worksheet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9" yWindow="-109" windowWidth="19426" windowHeight="10297" tabRatio="607" firstSheet="40" activeTab="47" autoFilterDateGrouping="1"/>
  </bookViews>
  <sheets>
    <sheet name="13 12" sheetId="1" state="hidden" r:id="rId1"/>
    <sheet name="20 12 (2)" sheetId="2" state="hidden" r:id="rId2"/>
    <sheet name="27 12 (3)" sheetId="3" state="hidden" r:id="rId3"/>
    <sheet name="03 01" sheetId="4" state="hidden" r:id="rId4"/>
    <sheet name="1701" sheetId="5" state="hidden" r:id="rId5"/>
    <sheet name="21 02" sheetId="6" state="hidden" r:id="rId6"/>
    <sheet name="14 02" sheetId="7" state="hidden" r:id="rId7"/>
    <sheet name="24 01" sheetId="8" state="hidden" r:id="rId8"/>
    <sheet name="31 01 (2)" sheetId="9" state="hidden" r:id="rId9"/>
    <sheet name="07 02" sheetId="10" state="hidden" r:id="rId10"/>
    <sheet name="07 03" sheetId="11" state="hidden" r:id="rId11"/>
    <sheet name="14 03" sheetId="12" state="hidden" r:id="rId12"/>
    <sheet name="21 03" sheetId="13" state="hidden" r:id="rId13"/>
    <sheet name="280 3" sheetId="14" state="hidden" r:id="rId14"/>
    <sheet name="04 04 " sheetId="15" state="hidden" r:id="rId15"/>
    <sheet name="17 04" sheetId="16" state="hidden" r:id="rId16"/>
    <sheet name="11 04" sheetId="17" state="hidden" r:id="rId17"/>
    <sheet name="25 04" sheetId="18" state="hidden" r:id="rId18"/>
    <sheet name="16 05" sheetId="19" state="hidden" r:id="rId19"/>
    <sheet name="30 04" sheetId="20" state="hidden" r:id="rId20"/>
    <sheet name="09 05" sheetId="21" state="hidden" r:id="rId21"/>
    <sheet name="23 05" sheetId="22" state="hidden" r:id="rId22"/>
    <sheet name="30 05" sheetId="23" state="hidden" r:id="rId23"/>
    <sheet name="06 06" sheetId="24" state="hidden" r:id="rId24"/>
    <sheet name="13 06" sheetId="25" state="hidden" r:id="rId25"/>
    <sheet name="18 06" sheetId="26" state="hidden" r:id="rId26"/>
    <sheet name="27 06" sheetId="27" state="hidden" r:id="rId27"/>
    <sheet name="04 07" sheetId="28" state="hidden" r:id="rId28"/>
    <sheet name="11 07" sheetId="29" state="hidden" r:id="rId29"/>
    <sheet name="18 07" sheetId="30" state="hidden" r:id="rId30"/>
    <sheet name="25 07 " sheetId="31" state="hidden" r:id="rId31"/>
    <sheet name="01 08" sheetId="32" state="hidden" r:id="rId32"/>
    <sheet name="08 08" sheetId="33" state="hidden" r:id="rId33"/>
    <sheet name="14 08" sheetId="34" state="hidden" r:id="rId34"/>
    <sheet name="22 08" sheetId="35" state="hidden" r:id="rId35"/>
    <sheet name="29 08" sheetId="36" state="hidden" r:id="rId36"/>
    <sheet name="12 09" sheetId="37" state="hidden" r:id="rId37"/>
    <sheet name="05 09" sheetId="38" state="hidden" r:id="rId38"/>
    <sheet name="OUTUBRO 2025" sheetId="39" state="visible" r:id="rId39"/>
    <sheet name="NOVEMBRO 2025" sheetId="40" state="visible" r:id="rId40"/>
    <sheet name="JANEIRO" sheetId="41" state="visible" r:id="rId41"/>
    <sheet name="FEVEREIRO" sheetId="42" state="visible" r:id="rId42"/>
    <sheet name="MARÇO " sheetId="43" state="visible" r:id="rId43"/>
    <sheet name="ABRIL " sheetId="44" state="visible" r:id="rId44"/>
    <sheet name="MAIO " sheetId="45" state="visible" r:id="rId45"/>
    <sheet name="JUNHO" sheetId="46" state="visible" r:id="rId46"/>
    <sheet name="JULHO" sheetId="47" state="visible" r:id="rId47"/>
    <sheet name="AGOSTO" sheetId="48" state="visible" r:id="rId48"/>
  </sheets>
  <definedNames>
    <definedName name="_xlnm._FilterDatabase" localSheetId="38" hidden="1">'OUTUBRO 2025'!$A$2:$R$2</definedName>
    <definedName name="_xlnm._FilterDatabase" localSheetId="39" hidden="1">'NOVEMBRO 2025'!$A$2:$R$2</definedName>
    <definedName name="_xlnm._FilterDatabase" localSheetId="40" hidden="1">'JANEIRO'!$A$2:$R$2</definedName>
    <definedName name="_xlnm._FilterDatabase" localSheetId="41" hidden="1">'FEVEREIRO'!$A$2:$R$2</definedName>
    <definedName name="_xlnm._FilterDatabase" localSheetId="42" hidden="1">'MARÇO '!$A$2:$R$2</definedName>
    <definedName name="_xlnm._FilterDatabase" localSheetId="43" hidden="1">'ABRIL '!$A$2:$R$12</definedName>
    <definedName name="_xlnm._FilterDatabase" localSheetId="44" hidden="1">'MAIO '!$A$2:$R$2</definedName>
    <definedName name="_xlnm._FilterDatabase" localSheetId="45" hidden="1">'JUNHO'!$A$2:$R$2</definedName>
    <definedName name="_xlnm._FilterDatabase" localSheetId="46" hidden="1">'JULHO'!$A$2:$R$2</definedName>
    <definedName name="_xlnm._FilterDatabase" localSheetId="47" hidden="1">'AGOSTO'!$A$2:$R$2</definedName>
  </definedNames>
  <calcPr calcId="152511" fullCalcOnLoad="1"/>
</workbook>
</file>

<file path=xl/styles.xml><?xml version="1.0" encoding="utf-8"?>
<styleSheet xmlns="http://schemas.openxmlformats.org/spreadsheetml/2006/main">
  <numFmts count="1">
    <numFmt numFmtId="164" formatCode="dd\-mm\-yyyy;@"/>
  </numFmts>
  <fonts count="21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rgb="FFFFFFFF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rgb="FFFFFFFF"/>
      <sz val="11"/>
      <scheme val="minor"/>
    </font>
    <font>
      <name val="Aptos Narrow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FF0000"/>
      <sz val="11"/>
    </font>
    <font>
      <name val="Calibri"/>
      <family val="2"/>
      <color rgb="FFFFFFFF"/>
      <sz val="11"/>
    </font>
    <font>
      <name val="Calibri"/>
      <family val="2"/>
      <color theme="0"/>
      <sz val="11"/>
      <scheme val="minor"/>
    </font>
    <font>
      <name val="Calibri"/>
      <family val="2"/>
      <b val="1"/>
      <color theme="0"/>
      <sz val="11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sz val="11"/>
    </font>
    <font>
      <name val="Calibri"/>
      <family val="2"/>
      <color rgb="FFFF0000"/>
      <sz val="11"/>
    </font>
  </fonts>
  <fills count="27">
    <fill>
      <patternFill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 tint="0.599993896298104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00808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7" tint="-0.249977111117893"/>
        <bgColor rgb="FF000000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7" tint="0.399975585192419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 tint="0.3999755851924192"/>
        <bgColor rgb="FF000000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/>
    </xf>
    <xf numFmtId="14" fontId="0" fillId="5" borderId="1" applyAlignment="1" pivotButton="0" quotePrefix="0" xfId="0">
      <alignment horizont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0" fillId="4" borderId="5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4" fontId="0" fillId="6" borderId="1" applyAlignment="1" pivotButton="0" quotePrefix="0" xfId="0">
      <alignment horizontal="center"/>
    </xf>
    <xf numFmtId="3" fontId="0" fillId="6" borderId="1" applyAlignment="1" pivotButton="0" quotePrefix="0" xfId="0">
      <alignment horizontal="center"/>
    </xf>
    <xf numFmtId="14" fontId="0" fillId="4" borderId="1" applyAlignment="1" pivotButton="0" quotePrefix="0" xfId="0">
      <alignment horizontal="center"/>
    </xf>
    <xf numFmtId="3" fontId="0" fillId="4" borderId="1" applyAlignment="1" pivotButton="0" quotePrefix="0" xfId="0">
      <alignment horizontal="center"/>
    </xf>
    <xf numFmtId="0" fontId="0" fillId="4" borderId="0" pivotButton="0" quotePrefix="0" xfId="0"/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4" fontId="0" fillId="3" borderId="1" applyAlignment="1" pivotButton="0" quotePrefix="0" xfId="0">
      <alignment horizontal="center"/>
    </xf>
    <xf numFmtId="3" fontId="0" fillId="3" borderId="1" applyAlignment="1" pivotButton="0" quotePrefix="0" xfId="0">
      <alignment horizontal="center"/>
    </xf>
    <xf numFmtId="0" fontId="0" fillId="3" borderId="0" pivotButton="0" quotePrefix="0" xfId="0"/>
    <xf numFmtId="0" fontId="0" fillId="6" borderId="1" applyAlignment="1" pivotButton="0" quotePrefix="0" xfId="0">
      <alignment horizontal="center" vertical="center"/>
    </xf>
    <xf numFmtId="0" fontId="0" fillId="4" borderId="8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/>
    </xf>
    <xf numFmtId="14" fontId="0" fillId="7" borderId="1" applyAlignment="1" pivotButton="0" quotePrefix="0" xfId="0">
      <alignment horizontal="center"/>
    </xf>
    <xf numFmtId="3" fontId="0" fillId="7" borderId="1" applyAlignment="1" pivotButton="0" quotePrefix="0" xfId="0">
      <alignment horizontal="center"/>
    </xf>
    <xf numFmtId="0" fontId="0" fillId="7" borderId="0" pivotButton="0" quotePrefix="0" xfId="0"/>
    <xf numFmtId="0" fontId="0" fillId="7" borderId="5" applyAlignment="1" pivotButton="0" quotePrefix="0" xfId="0">
      <alignment horizontal="center"/>
    </xf>
    <xf numFmtId="0" fontId="0" fillId="7" borderId="9" applyAlignment="1" pivotButton="0" quotePrefix="0" xfId="0">
      <alignment horizontal="center"/>
    </xf>
    <xf numFmtId="0" fontId="0" fillId="7" borderId="1" pivotButton="0" quotePrefix="0" xfId="0"/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0" fillId="6" borderId="0" pivotButton="0" quotePrefix="0" xfId="0"/>
    <xf numFmtId="0" fontId="4" fillId="1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6" fillId="13" borderId="0" pivotButton="0" quotePrefix="0" xfId="0"/>
    <xf numFmtId="0" fontId="0" fillId="6" borderId="5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0" fillId="15" borderId="5" applyAlignment="1" pivotButton="0" quotePrefix="0" xfId="0">
      <alignment horizontal="center"/>
    </xf>
    <xf numFmtId="3" fontId="0" fillId="15" borderId="1" applyAlignment="1" pivotButton="0" quotePrefix="0" xfId="0">
      <alignment horizontal="center"/>
    </xf>
    <xf numFmtId="0" fontId="0" fillId="15" borderId="1" applyAlignment="1" pivotButton="0" quotePrefix="0" xfId="0">
      <alignment horizontal="center" vertical="center"/>
    </xf>
    <xf numFmtId="14" fontId="8" fillId="0" borderId="1" pivotButton="0" quotePrefix="0" xfId="0"/>
    <xf numFmtId="0" fontId="8" fillId="16" borderId="11" pivotButton="0" quotePrefix="0" xfId="0"/>
    <xf numFmtId="0" fontId="8" fillId="0" borderId="11" pivotButton="0" quotePrefix="0" xfId="0"/>
    <xf numFmtId="14" fontId="8" fillId="0" borderId="11" pivotButton="0" quotePrefix="0" xfId="0"/>
    <xf numFmtId="0" fontId="8" fillId="12" borderId="1" pivotButton="0" quotePrefix="0" xfId="0"/>
    <xf numFmtId="0" fontId="8" fillId="12" borderId="11" pivotButton="0" quotePrefix="0" xfId="0"/>
    <xf numFmtId="0" fontId="2" fillId="0" borderId="4" applyAlignment="1" pivotButton="0" quotePrefix="0" xfId="0">
      <alignment horizontal="center" vertical="center"/>
    </xf>
    <xf numFmtId="14" fontId="8" fillId="0" borderId="1" applyAlignment="1" pivotButton="0" quotePrefix="0" xfId="0">
      <alignment horizontal="center" vertical="center"/>
    </xf>
    <xf numFmtId="0" fontId="8" fillId="16" borderId="11" applyAlignment="1" pivotButton="0" quotePrefix="0" xfId="0">
      <alignment horizontal="center" vertical="center"/>
    </xf>
    <xf numFmtId="14" fontId="8" fillId="0" borderId="11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4" fontId="0" fillId="15" borderId="1" applyAlignment="1" pivotButton="0" quotePrefix="0" xfId="0">
      <alignment horizontal="center"/>
    </xf>
    <xf numFmtId="14" fontId="8" fillId="15" borderId="1" applyAlignment="1" pivotButton="0" quotePrefix="0" xfId="0">
      <alignment horizontal="center" vertical="center"/>
    </xf>
    <xf numFmtId="0" fontId="8" fillId="15" borderId="1" pivotButton="0" quotePrefix="0" xfId="0"/>
    <xf numFmtId="14" fontId="8" fillId="15" borderId="1" pivotButton="0" quotePrefix="0" xfId="0"/>
    <xf numFmtId="16" fontId="8" fillId="0" borderId="11" pivotButton="0" quotePrefix="0" xfId="0"/>
    <xf numFmtId="14" fontId="8" fillId="0" borderId="11" applyAlignment="1" pivotButton="0" quotePrefix="0" xfId="0">
      <alignment horizontal="center"/>
    </xf>
    <xf numFmtId="14" fontId="8" fillId="15" borderId="11" applyAlignment="1" pivotButton="0" quotePrefix="0" xfId="0">
      <alignment horizontal="center" vertical="center"/>
    </xf>
    <xf numFmtId="0" fontId="8" fillId="15" borderId="11" pivotButton="0" quotePrefix="0" xfId="0"/>
    <xf numFmtId="14" fontId="8" fillId="15" borderId="11" pivotButton="0" quotePrefix="0" xfId="0"/>
    <xf numFmtId="0" fontId="7" fillId="0" borderId="3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4" fillId="0" borderId="0" pivotButton="0" quotePrefix="0" xfId="0"/>
    <xf numFmtId="0" fontId="9" fillId="17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6" fillId="18" borderId="0" pivotButton="0" quotePrefix="0" xfId="0"/>
    <xf numFmtId="0" fontId="9" fillId="19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14" fontId="4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14" fontId="4" fillId="0" borderId="1" applyAlignment="1" pivotButton="0" quotePrefix="0" xfId="0">
      <alignment horizontal="center" vertical="center"/>
    </xf>
    <xf numFmtId="0" fontId="4" fillId="12" borderId="11" pivotButton="0" quotePrefix="0" xfId="0"/>
    <xf numFmtId="14" fontId="4" fillId="0" borderId="1" pivotButton="0" quotePrefix="0" xfId="0"/>
    <xf numFmtId="0" fontId="4" fillId="16" borderId="1" applyAlignment="1" pivotButton="0" quotePrefix="0" xfId="0">
      <alignment horizontal="center"/>
    </xf>
    <xf numFmtId="0" fontId="4" fillId="16" borderId="1" applyAlignment="1" pivotButton="0" quotePrefix="0" xfId="0">
      <alignment horizontal="center" vertical="center"/>
    </xf>
    <xf numFmtId="0" fontId="4" fillId="16" borderId="5" applyAlignment="1" pivotButton="0" quotePrefix="0" xfId="0">
      <alignment horizontal="center"/>
    </xf>
    <xf numFmtId="0" fontId="4" fillId="16" borderId="11" applyAlignment="1" pivotButton="0" quotePrefix="0" xfId="0">
      <alignment horizontal="center" vertical="center"/>
    </xf>
    <xf numFmtId="0" fontId="4" fillId="16" borderId="11" pivotButton="0" quotePrefix="0" xfId="0"/>
    <xf numFmtId="0" fontId="4" fillId="0" borderId="11" pivotButton="0" quotePrefix="0" xfId="0"/>
    <xf numFmtId="14" fontId="4" fillId="0" borderId="11" pivotButton="0" quotePrefix="0" xfId="0"/>
    <xf numFmtId="0" fontId="4" fillId="10" borderId="1" applyAlignment="1" pivotButton="0" quotePrefix="0" xfId="0">
      <alignment horizontal="center"/>
    </xf>
    <xf numFmtId="0" fontId="4" fillId="10" borderId="5" applyAlignment="1" pivotButton="0" quotePrefix="0" xfId="0">
      <alignment horizontal="center"/>
    </xf>
    <xf numFmtId="3" fontId="4" fillId="10" borderId="1" applyAlignment="1" pivotButton="0" quotePrefix="0" xfId="0">
      <alignment horizontal="center"/>
    </xf>
    <xf numFmtId="14" fontId="4" fillId="0" borderId="11" applyAlignment="1" pivotButton="0" quotePrefix="0" xfId="0">
      <alignment horizontal="center"/>
    </xf>
    <xf numFmtId="14" fontId="4" fillId="0" borderId="11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3" fontId="4" fillId="16" borderId="1" applyAlignment="1" pivotButton="0" quotePrefix="0" xfId="0">
      <alignment horizontal="center"/>
    </xf>
    <xf numFmtId="14" fontId="4" fillId="16" borderId="11" applyAlignment="1" pivotButton="0" quotePrefix="0" xfId="0">
      <alignment horizontal="center" vertical="center"/>
    </xf>
    <xf numFmtId="14" fontId="4" fillId="16" borderId="11" pivotButton="0" quotePrefix="0" xfId="0"/>
    <xf numFmtId="14" fontId="4" fillId="15" borderId="1" applyAlignment="1" pivotButton="0" quotePrefix="0" xfId="0">
      <alignment horizontal="center"/>
    </xf>
    <xf numFmtId="0" fontId="4" fillId="6" borderId="11" pivotButton="0" quotePrefix="0" xfId="0"/>
    <xf numFmtId="16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/>
    </xf>
    <xf numFmtId="14" fontId="4" fillId="6" borderId="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4" fillId="10" borderId="12" applyAlignment="1" pivotButton="0" quotePrefix="0" xfId="0">
      <alignment horizontal="center" vertical="center"/>
    </xf>
    <xf numFmtId="14" fontId="4" fillId="0" borderId="12" applyAlignment="1" pivotButton="0" quotePrefix="0" xfId="0">
      <alignment horizontal="center"/>
    </xf>
    <xf numFmtId="3" fontId="4" fillId="0" borderId="12" applyAlignment="1" pivotButton="0" quotePrefix="0" xfId="0">
      <alignment horizontal="center"/>
    </xf>
    <xf numFmtId="14" fontId="4" fillId="0" borderId="12" applyAlignment="1" pivotButton="0" quotePrefix="0" xfId="0">
      <alignment horizontal="center" vertical="center"/>
    </xf>
    <xf numFmtId="14" fontId="4" fillId="0" borderId="12" pivotButton="0" quotePrefix="0" xfId="0"/>
    <xf numFmtId="0" fontId="4" fillId="0" borderId="13" applyAlignment="1" pivotButton="0" quotePrefix="0" xfId="0">
      <alignment horizontal="center"/>
    </xf>
    <xf numFmtId="0" fontId="4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/>
    </xf>
    <xf numFmtId="14" fontId="4" fillId="0" borderId="13" applyAlignment="1" pivotButton="0" quotePrefix="0" xfId="0">
      <alignment horizontal="center"/>
    </xf>
    <xf numFmtId="3" fontId="4" fillId="0" borderId="13" applyAlignment="1" pivotButton="0" quotePrefix="0" xfId="0">
      <alignment horizontal="center"/>
    </xf>
    <xf numFmtId="14" fontId="4" fillId="0" borderId="9" applyAlignment="1" pivotButton="0" quotePrefix="0" xfId="0">
      <alignment horizontal="center" vertical="center"/>
    </xf>
    <xf numFmtId="14" fontId="4" fillId="0" borderId="13" applyAlignment="1" pivotButton="0" quotePrefix="0" xfId="0">
      <alignment horizontal="center" vertical="center"/>
    </xf>
    <xf numFmtId="14" fontId="4" fillId="0" borderId="9" pivotButton="0" quotePrefix="0" xfId="0"/>
    <xf numFmtId="0" fontId="4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/>
    </xf>
    <xf numFmtId="0" fontId="4" fillId="15" borderId="5" applyAlignment="1" pivotButton="0" quotePrefix="0" xfId="0">
      <alignment horizontal="center"/>
    </xf>
    <xf numFmtId="3" fontId="4" fillId="15" borderId="1" applyAlignment="1" pivotButton="0" quotePrefix="0" xfId="0">
      <alignment horizontal="center"/>
    </xf>
    <xf numFmtId="14" fontId="4" fillId="15" borderId="1" applyAlignment="1" pivotButton="0" quotePrefix="0" xfId="0">
      <alignment horizontal="center" vertical="center"/>
    </xf>
    <xf numFmtId="14" fontId="4" fillId="15" borderId="11" pivotButton="0" quotePrefix="0" xfId="0"/>
    <xf numFmtId="14" fontId="8" fillId="0" borderId="9" pivotButton="0" quotePrefix="0" xfId="0"/>
    <xf numFmtId="0" fontId="8" fillId="0" borderId="1" applyAlignment="1" pivotButton="0" quotePrefix="0" xfId="0">
      <alignment horizontal="center"/>
    </xf>
    <xf numFmtId="0" fontId="8" fillId="0" borderId="11" applyAlignment="1" pivotButton="0" quotePrefix="0" xfId="0">
      <alignment horizontal="center"/>
    </xf>
    <xf numFmtId="0" fontId="8" fillId="0" borderId="9" applyAlignment="1" pivotButton="0" quotePrefix="0" xfId="0">
      <alignment horizontal="center"/>
    </xf>
    <xf numFmtId="0" fontId="8" fillId="0" borderId="12" applyAlignment="1" pivotButton="0" quotePrefix="0" xfId="0">
      <alignment horizontal="center"/>
    </xf>
    <xf numFmtId="0" fontId="8" fillId="6" borderId="11" applyAlignment="1" pivotButton="0" quotePrefix="0" xfId="0">
      <alignment horizontal="center"/>
    </xf>
    <xf numFmtId="14" fontId="8" fillId="0" borderId="12" pivotButton="0" quotePrefix="0" xfId="0"/>
    <xf numFmtId="0" fontId="4" fillId="10" borderId="12" applyAlignment="1" pivotButton="0" quotePrefix="0" xfId="0">
      <alignment horizontal="center"/>
    </xf>
    <xf numFmtId="0" fontId="8" fillId="4" borderId="11" applyAlignment="1" pivotButton="0" quotePrefix="0" xfId="0">
      <alignment horizontal="center"/>
    </xf>
    <xf numFmtId="14" fontId="8" fillId="4" borderId="11" pivotButton="0" quotePrefix="0" xfId="0"/>
    <xf numFmtId="0" fontId="4" fillId="4" borderId="1" applyAlignment="1" pivotButton="0" quotePrefix="0" xfId="0">
      <alignment horizontal="center"/>
    </xf>
    <xf numFmtId="0" fontId="4" fillId="4" borderId="13" applyAlignment="1" pivotButton="0" quotePrefix="0" xfId="0">
      <alignment horizontal="center"/>
    </xf>
    <xf numFmtId="0" fontId="4" fillId="4" borderId="12" applyAlignment="1" pivotButton="0" quotePrefix="0" xfId="0">
      <alignment horizontal="center"/>
    </xf>
    <xf numFmtId="14" fontId="4" fillId="0" borderId="15" applyAlignment="1" pivotButton="0" quotePrefix="0" xfId="0">
      <alignment horizontal="center" vertical="center"/>
    </xf>
    <xf numFmtId="14" fontId="8" fillId="0" borderId="15" pivotButton="0" quotePrefix="0" xfId="0"/>
    <xf numFmtId="14" fontId="4" fillId="0" borderId="5" applyAlignment="1" pivotButton="0" quotePrefix="0" xfId="0">
      <alignment horizontal="center"/>
    </xf>
    <xf numFmtId="3" fontId="4" fillId="10" borderId="13" applyAlignment="1" pivotButton="0" quotePrefix="0" xfId="0">
      <alignment horizontal="center"/>
    </xf>
    <xf numFmtId="3" fontId="4" fillId="10" borderId="12" applyAlignment="1" pivotButton="0" quotePrefix="0" xfId="0">
      <alignment horizontal="center"/>
    </xf>
    <xf numFmtId="3" fontId="4" fillId="10" borderId="5" applyAlignment="1" pivotButton="0" quotePrefix="0" xfId="0">
      <alignment horizontal="center"/>
    </xf>
    <xf numFmtId="3" fontId="4" fillId="10" borderId="14" applyAlignment="1" pivotButton="0" quotePrefix="0" xfId="0">
      <alignment horizontal="center"/>
    </xf>
    <xf numFmtId="3" fontId="4" fillId="0" borderId="16" applyAlignment="1" pivotButton="0" quotePrefix="0" xfId="0">
      <alignment horizontal="center"/>
    </xf>
    <xf numFmtId="14" fontId="4" fillId="0" borderId="17" applyAlignment="1" pivotButton="0" quotePrefix="0" xfId="0">
      <alignment horizontal="center" vertical="center"/>
    </xf>
    <xf numFmtId="14" fontId="4" fillId="0" borderId="8" applyAlignment="1" pivotButton="0" quotePrefix="0" xfId="0">
      <alignment horizontal="center" vertical="center"/>
    </xf>
    <xf numFmtId="14" fontId="4" fillId="0" borderId="18" applyAlignment="1" pivotButton="0" quotePrefix="0" xfId="0">
      <alignment horizontal="center" vertical="center"/>
    </xf>
    <xf numFmtId="14" fontId="8" fillId="0" borderId="15" applyAlignment="1" pivotButton="0" quotePrefix="0" xfId="0">
      <alignment horizontal="center"/>
    </xf>
    <xf numFmtId="14" fontId="8" fillId="4" borderId="11" applyAlignment="1" pivotButton="0" quotePrefix="0" xfId="0">
      <alignment horizontal="center"/>
    </xf>
    <xf numFmtId="14" fontId="10" fillId="0" borderId="1" pivotButton="0" quotePrefix="0" xfId="0"/>
    <xf numFmtId="14" fontId="8" fillId="4" borderId="12" applyAlignment="1" pivotButton="0" quotePrefix="0" xfId="0">
      <alignment horizontal="center"/>
    </xf>
    <xf numFmtId="3" fontId="4" fillId="0" borderId="5" applyAlignment="1" pivotButton="0" quotePrefix="0" xfId="0">
      <alignment horizontal="center"/>
    </xf>
    <xf numFmtId="3" fontId="4" fillId="10" borderId="16" applyAlignment="1" pivotButton="0" quotePrefix="0" xfId="0">
      <alignment horizontal="center"/>
    </xf>
    <xf numFmtId="0" fontId="8" fillId="0" borderId="17" applyAlignment="1" pivotButton="0" quotePrefix="0" xfId="0">
      <alignment horizontal="center"/>
    </xf>
    <xf numFmtId="0" fontId="5" fillId="12" borderId="13" applyAlignment="1" pivotButton="0" quotePrefix="0" xfId="0">
      <alignment horizontal="center" vertical="center"/>
    </xf>
    <xf numFmtId="0" fontId="8" fillId="6" borderId="17" applyAlignment="1" pivotButton="0" quotePrefix="0" xfId="0">
      <alignment horizontal="center"/>
    </xf>
    <xf numFmtId="14" fontId="4" fillId="6" borderId="12" applyAlignment="1" pivotButton="0" quotePrefix="0" xfId="0">
      <alignment horizontal="center" vertical="center"/>
    </xf>
    <xf numFmtId="0" fontId="11" fillId="0" borderId="3" pivotButton="0" quotePrefix="0" xfId="0"/>
    <xf numFmtId="0" fontId="11" fillId="0" borderId="4" pivotButton="0" quotePrefix="0" xfId="0"/>
    <xf numFmtId="0" fontId="11" fillId="0" borderId="0" pivotButton="0" quotePrefix="0" xfId="0"/>
    <xf numFmtId="0" fontId="8" fillId="0" borderId="0" pivotButton="0" quotePrefix="0" xfId="0"/>
    <xf numFmtId="0" fontId="12" fillId="17" borderId="1" applyAlignment="1" pivotButton="0" quotePrefix="0" xfId="0">
      <alignment horizontal="center" vertical="center"/>
    </xf>
    <xf numFmtId="0" fontId="13" fillId="12" borderId="13" applyAlignment="1" pivotButton="0" quotePrefix="0" xfId="0">
      <alignment horizontal="center" vertical="center"/>
    </xf>
    <xf numFmtId="0" fontId="14" fillId="18" borderId="0" applyAlignment="1" pivotButton="0" quotePrefix="0" xfId="0">
      <alignment horizontal="center" vertical="center"/>
    </xf>
    <xf numFmtId="0" fontId="12" fillId="19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8" fillId="10" borderId="5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/>
    </xf>
    <xf numFmtId="14" fontId="8" fillId="0" borderId="15" applyAlignment="1" pivotButton="0" quotePrefix="0" xfId="0">
      <alignment horizontal="center" vertical="center"/>
    </xf>
    <xf numFmtId="0" fontId="8" fillId="10" borderId="14" applyAlignment="1" pivotButton="0" quotePrefix="0" xfId="0">
      <alignment horizontal="center" vertical="center"/>
    </xf>
    <xf numFmtId="0" fontId="8" fillId="10" borderId="16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1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14" fontId="8" fillId="10" borderId="11" applyAlignment="1" pivotButton="0" quotePrefix="0" xfId="0">
      <alignment horizontal="center" vertical="center"/>
    </xf>
    <xf numFmtId="0" fontId="12" fillId="17" borderId="1" pivotButton="0" quotePrefix="0" xfId="0"/>
    <xf numFmtId="0" fontId="13" fillId="12" borderId="13" pivotButton="0" quotePrefix="0" xfId="0"/>
    <xf numFmtId="0" fontId="14" fillId="18" borderId="0" pivotButton="0" quotePrefix="0" xfId="0"/>
    <xf numFmtId="0" fontId="12" fillId="19" borderId="1" pivotButton="0" quotePrefix="0" xfId="0"/>
    <xf numFmtId="0" fontId="8" fillId="0" borderId="1" pivotButton="0" quotePrefix="0" xfId="0"/>
    <xf numFmtId="0" fontId="8" fillId="10" borderId="1" pivotButton="0" quotePrefix="0" xfId="0"/>
    <xf numFmtId="0" fontId="8" fillId="0" borderId="5" pivotButton="0" quotePrefix="0" xfId="0"/>
    <xf numFmtId="0" fontId="8" fillId="10" borderId="5" pivotButton="0" quotePrefix="0" xfId="0"/>
    <xf numFmtId="3" fontId="8" fillId="10" borderId="5" pivotButton="0" quotePrefix="0" xfId="0"/>
    <xf numFmtId="0" fontId="8" fillId="0" borderId="12" pivotButton="0" quotePrefix="0" xfId="0"/>
    <xf numFmtId="14" fontId="8" fillId="21" borderId="12" pivotButton="0" quotePrefix="0" xfId="0"/>
    <xf numFmtId="0" fontId="8" fillId="10" borderId="12" pivotButton="0" quotePrefix="0" xfId="0"/>
    <xf numFmtId="3" fontId="8" fillId="10" borderId="14" pivotButton="0" quotePrefix="0" xfId="0"/>
    <xf numFmtId="0" fontId="8" fillId="10" borderId="16" pivotButton="0" quotePrefix="0" xfId="0"/>
    <xf numFmtId="3" fontId="8" fillId="10" borderId="16" pivotButton="0" quotePrefix="0" xfId="0"/>
    <xf numFmtId="0" fontId="8" fillId="0" borderId="13" pivotButton="0" quotePrefix="0" xfId="0"/>
    <xf numFmtId="0" fontId="8" fillId="10" borderId="13" pivotButton="0" quotePrefix="0" xfId="0"/>
    <xf numFmtId="0" fontId="8" fillId="0" borderId="14" pivotButton="0" quotePrefix="0" xfId="0"/>
    <xf numFmtId="14" fontId="8" fillId="10" borderId="12" pivotButton="0" quotePrefix="0" xfId="0"/>
    <xf numFmtId="3" fontId="8" fillId="20" borderId="16" pivotButton="0" quotePrefix="0" xfId="0"/>
    <xf numFmtId="14" fontId="8" fillId="20" borderId="12" pivotButton="0" quotePrefix="0" xfId="0"/>
    <xf numFmtId="0" fontId="8" fillId="20" borderId="12" applyAlignment="1" pivotButton="0" quotePrefix="0" xfId="0">
      <alignment horizontal="center" vertical="center"/>
    </xf>
    <xf numFmtId="0" fontId="12" fillId="0" borderId="1" pivotButton="0" quotePrefix="0" xfId="0"/>
    <xf numFmtId="0" fontId="12" fillId="17" borderId="13" pivotButton="0" quotePrefix="0" xfId="0"/>
    <xf numFmtId="0" fontId="8" fillId="10" borderId="14" pivotButton="0" quotePrefix="0" xfId="0"/>
    <xf numFmtId="0" fontId="8" fillId="10" borderId="17" applyAlignment="1" pivotButton="0" quotePrefix="0" xfId="0">
      <alignment horizontal="center" vertical="center"/>
    </xf>
    <xf numFmtId="0" fontId="11" fillId="10" borderId="21" applyAlignment="1" pivotButton="0" quotePrefix="0" xfId="0">
      <alignment horizontal="center"/>
    </xf>
    <xf numFmtId="0" fontId="11" fillId="10" borderId="22" applyAlignment="1" pivotButton="0" quotePrefix="0" xfId="0">
      <alignment horizontal="center"/>
    </xf>
    <xf numFmtId="0" fontId="11" fillId="10" borderId="23" applyAlignment="1" pivotButton="0" quotePrefix="0" xfId="0">
      <alignment horizontal="center"/>
    </xf>
    <xf numFmtId="0" fontId="2" fillId="0" borderId="29" applyAlignment="1" pivotButton="0" quotePrefix="0" xfId="0">
      <alignment horizontal="center"/>
    </xf>
    <xf numFmtId="0" fontId="2" fillId="0" borderId="30" applyAlignment="1" pivotButton="0" quotePrefix="0" xfId="0">
      <alignment horizontal="center"/>
    </xf>
    <xf numFmtId="0" fontId="2" fillId="0" borderId="24" applyAlignment="1" pivotButton="0" quotePrefix="0" xfId="0">
      <alignment horizontal="center"/>
    </xf>
    <xf numFmtId="14" fontId="1" fillId="0" borderId="27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4" fontId="11" fillId="0" borderId="4" pivotButton="0" quotePrefix="0" xfId="0"/>
    <xf numFmtId="14" fontId="0" fillId="0" borderId="0" pivotButton="0" quotePrefix="0" xfId="0"/>
    <xf numFmtId="14" fontId="16" fillId="22" borderId="13" pivotButton="0" quotePrefix="0" xfId="0"/>
    <xf numFmtId="0" fontId="12" fillId="22" borderId="0" pivotButton="0" quotePrefix="0" xfId="0"/>
    <xf numFmtId="0" fontId="12" fillId="23" borderId="1" pivotButton="0" quotePrefix="0" xfId="0"/>
    <xf numFmtId="0" fontId="8" fillId="24" borderId="17" applyAlignment="1" pivotButton="0" quotePrefix="0" xfId="0">
      <alignment horizontal="center" vertical="center"/>
    </xf>
    <xf numFmtId="3" fontId="8" fillId="25" borderId="16" pivotButton="0" quotePrefix="0" xfId="0"/>
    <xf numFmtId="0" fontId="8" fillId="25" borderId="1" pivotButton="0" quotePrefix="0" xfId="0"/>
    <xf numFmtId="0" fontId="12" fillId="22" borderId="13" pivotButton="0" quotePrefix="0" xfId="0"/>
    <xf numFmtId="3" fontId="8" fillId="4" borderId="16" pivotButton="0" quotePrefix="0" xfId="0"/>
    <xf numFmtId="0" fontId="8" fillId="4" borderId="1" pivotButton="0" quotePrefix="0" xfId="0"/>
    <xf numFmtId="164" fontId="2" fillId="0" borderId="26" applyAlignment="1" pivotButton="0" quotePrefix="0" xfId="0">
      <alignment horizontal="center" vertical="center"/>
    </xf>
    <xf numFmtId="164" fontId="4" fillId="0" borderId="11" pivotButton="0" quotePrefix="0" xfId="0"/>
    <xf numFmtId="164" fontId="4" fillId="4" borderId="11" pivotButton="0" quotePrefix="0" xfId="0"/>
    <xf numFmtId="164" fontId="8" fillId="0" borderId="12" pivotButton="0" quotePrefix="0" xfId="0"/>
    <xf numFmtId="164" fontId="8" fillId="0" borderId="11" pivotButton="0" quotePrefix="0" xfId="0"/>
    <xf numFmtId="164" fontId="10" fillId="0" borderId="1" pivotButton="0" quotePrefix="0" xfId="0"/>
    <xf numFmtId="0" fontId="8" fillId="4" borderId="5" pivotButton="0" quotePrefix="0" xfId="0"/>
    <xf numFmtId="0" fontId="8" fillId="4" borderId="14" pivotButton="0" quotePrefix="0" xfId="0"/>
    <xf numFmtId="0" fontId="8" fillId="4" borderId="12" pivotButton="0" quotePrefix="0" xfId="0"/>
    <xf numFmtId="0" fontId="17" fillId="4" borderId="5" pivotButton="0" quotePrefix="0" xfId="0"/>
    <xf numFmtId="0" fontId="8" fillId="7" borderId="5" pivotButton="0" quotePrefix="0" xfId="0"/>
    <xf numFmtId="0" fontId="2" fillId="0" borderId="25" applyAlignment="1" pivotButton="0" quotePrefix="0" xfId="0">
      <alignment horizontal="center" vertical="center" wrapText="1"/>
    </xf>
    <xf numFmtId="3" fontId="8" fillId="10" borderId="0" pivotButton="0" quotePrefix="0" xfId="0"/>
    <xf numFmtId="0" fontId="11" fillId="10" borderId="32" applyAlignment="1" pivotButton="0" quotePrefix="0" xfId="0">
      <alignment horizontal="center"/>
    </xf>
    <xf numFmtId="2" fontId="15" fillId="0" borderId="0" applyAlignment="1" pivotButton="0" quotePrefix="0" xfId="0">
      <alignment horizontal="center"/>
    </xf>
    <xf numFmtId="2" fontId="15" fillId="0" borderId="20" applyAlignment="1" pivotButton="0" quotePrefix="0" xfId="0">
      <alignment horizontal="center"/>
    </xf>
    <xf numFmtId="2" fontId="11" fillId="0" borderId="4" pivotButton="0" quotePrefix="0" xfId="0"/>
    <xf numFmtId="2" fontId="18" fillId="0" borderId="0" pivotButton="0" quotePrefix="0" xfId="0"/>
    <xf numFmtId="2" fontId="18" fillId="0" borderId="20" applyAlignment="1" pivotButton="0" quotePrefix="0" xfId="0">
      <alignment horizontal="center"/>
    </xf>
    <xf numFmtId="164" fontId="4" fillId="4" borderId="11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8" fillId="26" borderId="17" applyAlignment="1" pivotButton="0" quotePrefix="0" xfId="0">
      <alignment horizontal="center" vertical="center"/>
    </xf>
    <xf numFmtId="0" fontId="12" fillId="17" borderId="13" applyAlignment="1" pivotButton="0" quotePrefix="0" xfId="0">
      <alignment horizontal="center"/>
    </xf>
    <xf numFmtId="0" fontId="19" fillId="10" borderId="1" pivotButton="0" quotePrefix="0" xfId="0"/>
    <xf numFmtId="0" fontId="19" fillId="0" borderId="1" pivotButton="0" quotePrefix="0" xfId="0"/>
    <xf numFmtId="0" fontId="19" fillId="10" borderId="13" pivotButton="0" quotePrefix="0" xfId="0"/>
    <xf numFmtId="0" fontId="19" fillId="0" borderId="12" pivotButton="0" quotePrefix="0" xfId="0"/>
    <xf numFmtId="0" fontId="19" fillId="4" borderId="5" pivotButton="0" quotePrefix="0" xfId="0"/>
    <xf numFmtId="0" fontId="19" fillId="25" borderId="1" pivotButton="0" quotePrefix="0" xfId="0"/>
    <xf numFmtId="164" fontId="10" fillId="4" borderId="1" pivotButton="0" quotePrefix="0" xfId="0"/>
    <xf numFmtId="164" fontId="8" fillId="4" borderId="12" pivotButton="0" quotePrefix="0" xfId="0"/>
    <xf numFmtId="0" fontId="8" fillId="25" borderId="17" applyAlignment="1" pivotButton="0" quotePrefix="0" xfId="0">
      <alignment horizontal="center" vertical="center"/>
    </xf>
    <xf numFmtId="0" fontId="19" fillId="4" borderId="1" pivotButton="0" quotePrefix="0" xfId="0"/>
    <xf numFmtId="3" fontId="20" fillId="25" borderId="16" pivotButton="0" quotePrefix="0" xfId="0"/>
    <xf numFmtId="0" fontId="20" fillId="25" borderId="17" applyAlignment="1" pivotButton="0" quotePrefix="0" xfId="0">
      <alignment horizontal="center" vertical="center"/>
    </xf>
    <xf numFmtId="164" fontId="8" fillId="4" borderId="11" pivotButton="0" quotePrefix="0" xfId="0"/>
    <xf numFmtId="0" fontId="8" fillId="25" borderId="13" pivotButton="0" quotePrefix="0" xfId="0"/>
    <xf numFmtId="0" fontId="19" fillId="25" borderId="13" pivotButton="0" quotePrefix="0" xfId="0"/>
    <xf numFmtId="3" fontId="8" fillId="25" borderId="16" applyAlignment="1" pivotButton="0" quotePrefix="0" xfId="0">
      <alignment horizontal="right"/>
    </xf>
    <xf numFmtId="0" fontId="8" fillId="25" borderId="12" pivotButton="0" quotePrefix="0" xfId="0"/>
    <xf numFmtId="0" fontId="19" fillId="4" borderId="12" pivotButton="0" quotePrefix="0" xfId="0"/>
    <xf numFmtId="3" fontId="17" fillId="25" borderId="16" pivotButton="0" quotePrefix="0" xfId="0"/>
    <xf numFmtId="3" fontId="8" fillId="4" borderId="16" applyAlignment="1" pivotButton="0" quotePrefix="0" xfId="0">
      <alignment horizontal="right"/>
    </xf>
    <xf numFmtId="3" fontId="8" fillId="10" borderId="16" applyAlignment="1" pivotButton="0" quotePrefix="0" xfId="0">
      <alignment horizontal="right"/>
    </xf>
    <xf numFmtId="3" fontId="8" fillId="4" borderId="16" applyAlignment="1" pivotButton="0" quotePrefix="0" xfId="0">
      <alignment horizontal="center"/>
    </xf>
    <xf numFmtId="3" fontId="8" fillId="10" borderId="16" applyAlignment="1" pivotButton="0" quotePrefix="0" xfId="0">
      <alignment horizontal="center"/>
    </xf>
    <xf numFmtId="0" fontId="8" fillId="12" borderId="12" pivotButton="0" quotePrefix="0" xfId="0"/>
    <xf numFmtId="0" fontId="8" fillId="12" borderId="13" pivotButton="0" quotePrefix="0" xfId="0"/>
    <xf numFmtId="0" fontId="8" fillId="6" borderId="1" pivotButton="0" quotePrefix="0" xfId="0"/>
    <xf numFmtId="14" fontId="0" fillId="0" borderId="1" pivotButton="0" quotePrefix="0" xfId="0"/>
    <xf numFmtId="3" fontId="8" fillId="25" borderId="16" applyAlignment="1" pivotButton="0" quotePrefix="0" xfId="0">
      <alignment horizontal="center"/>
    </xf>
    <xf numFmtId="0" fontId="2" fillId="0" borderId="3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/>
    </xf>
    <xf numFmtId="0" fontId="2" fillId="6" borderId="1" applyAlignment="1" pivotButton="0" quotePrefix="0" xfId="0">
      <alignment horizontal="center" wrapText="1"/>
    </xf>
    <xf numFmtId="0" fontId="0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0" fillId="7" borderId="1" applyAlignment="1" pivotButton="0" quotePrefix="0" xfId="0">
      <alignment horizontal="center" wrapText="1"/>
    </xf>
    <xf numFmtId="0" fontId="7" fillId="12" borderId="5" applyAlignment="1" pivotButton="0" quotePrefix="0" xfId="0">
      <alignment horizontal="center" wrapText="1"/>
    </xf>
    <xf numFmtId="0" fontId="7" fillId="12" borderId="6" applyAlignment="1" pivotButton="0" quotePrefix="0" xfId="0">
      <alignment horizontal="center" wrapText="1"/>
    </xf>
    <xf numFmtId="0" fontId="7" fillId="12" borderId="7" applyAlignment="1" pivotButton="0" quotePrefix="0" xfId="0">
      <alignment horizontal="center" wrapText="1"/>
    </xf>
    <xf numFmtId="0" fontId="7" fillId="14" borderId="5" applyAlignment="1" pivotButton="0" quotePrefix="0" xfId="0">
      <alignment horizontal="center"/>
    </xf>
    <xf numFmtId="0" fontId="7" fillId="14" borderId="6" applyAlignment="1" pivotButton="0" quotePrefix="0" xfId="0">
      <alignment horizontal="center"/>
    </xf>
    <xf numFmtId="0" fontId="7" fillId="14" borderId="7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/>
    </xf>
    <xf numFmtId="0" fontId="0" fillId="20" borderId="0" pivotButton="0" quotePrefix="0" xfId="0"/>
    <xf numFmtId="0" fontId="4" fillId="3" borderId="0" applyAlignment="1" pivotButton="0" quotePrefix="0" xfId="0">
      <alignment horizontal="center"/>
    </xf>
    <xf numFmtId="0" fontId="0" fillId="20" borderId="0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4" pivotButton="0" quotePrefix="0" xfId="0"/>
    <xf numFmtId="0" fontId="2" fillId="0" borderId="1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7" fillId="12" borderId="1" applyAlignment="1" pivotButton="0" quotePrefix="0" xfId="0">
      <alignment horizontal="center" wrapText="1"/>
    </xf>
    <xf numFmtId="0" fontId="7" fillId="14" borderId="1" applyAlignment="1" pivotButton="0" quotePrefix="0" xfId="0">
      <alignment horizontal="center"/>
    </xf>
    <xf numFmtId="0" fontId="0" fillId="0" borderId="10" pivotButton="0" quotePrefix="0" xfId="0"/>
    <xf numFmtId="0" fontId="0" fillId="0" borderId="20" pivotButton="0" quotePrefix="0" xfId="0"/>
  </cellXfs>
  <cellStyles count="1">
    <cellStyle name="Normal" xfId="0" builtinId="0"/>
  </cellStyles>
  <dxfs count="160">
    <dxf>
      <font>
        <b val="1"/>
        <color rgb="FFC00000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  <color rgb="FFC00000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  <color rgb="FFC00000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  <color rgb="FFC00000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  <color rgb="FFC00000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  <color rgb="FFC00000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  <color rgb="FFC00000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  <color rgb="FFC00000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  <color rgb="FFC00000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  <color rgb="FFC00000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ACUMULADO MÊS</a:t>
            </a:r>
            <a:r>
              <a:rPr lang="en-US"/>
              <a:t>.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'OUTUBRO 2025'!$G$28</f>
              <strCache>
                <ptCount val="1"/>
                <pt idx="0">
                  <v>ACUM.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'OUTUBRO 2025'!$A$29:$A$38</f>
              <strCache>
                <ptCount val="10"/>
                <pt idx="0">
                  <v>TN 01</v>
                </pt>
                <pt idx="1">
                  <v>TN 03</v>
                </pt>
                <pt idx="2">
                  <v>TN 04</v>
                </pt>
                <pt idx="3">
                  <v>TN 29</v>
                </pt>
                <pt idx="4">
                  <v>TN 31</v>
                </pt>
                <pt idx="5">
                  <v>TN 72</v>
                </pt>
                <pt idx="6">
                  <v>TN 73</v>
                </pt>
                <pt idx="7">
                  <v>TN 74</v>
                </pt>
                <pt idx="8">
                  <v>TN 76</v>
                </pt>
                <pt idx="9">
                  <v>TN78</v>
                </pt>
              </strCache>
            </strRef>
          </cat>
          <val>
            <numRef>
              <f>'OUTUBRO 2025'!$G$29:$G$38</f>
              <numCache>
                <formatCode>0.00</formatCode>
                <ptCount val="10"/>
                <pt idx="0">
                  <v>1200</v>
                </pt>
                <pt idx="1">
                  <v>3308</v>
                </pt>
                <pt idx="2">
                  <v>2993</v>
                </pt>
                <pt idx="3">
                  <v>0</v>
                </pt>
                <pt idx="4">
                  <v>0</v>
                </pt>
                <pt idx="5">
                  <v>3872</v>
                </pt>
                <pt idx="6">
                  <v>2825</v>
                </pt>
                <pt idx="7">
                  <v>3770</v>
                </pt>
                <pt idx="8">
                  <v>2352</v>
                </pt>
                <pt idx="9">
                  <v>4644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94471088"/>
        <axId val="194467560"/>
      </barChart>
      <catAx>
        <axId val="19447108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94467560"/>
        <crosses val="autoZero"/>
        <auto val="1"/>
        <lblAlgn val="ctr"/>
        <lblOffset val="100"/>
        <noMultiLvlLbl val="0"/>
      </catAx>
      <valAx>
        <axId val="194467560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94471088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ACUMULADO MÊS</a:t>
            </a:r>
            <a:r>
              <a:rPr lang="en-US"/>
              <a:t>.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'NOVEMBRO 2025'!$G$28</f>
              <strCache>
                <ptCount val="1"/>
                <pt idx="0">
                  <v>ACUM.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'NOVEMBRO 2025'!$A$29:$A$38</f>
              <strCache>
                <ptCount val="10"/>
                <pt idx="0">
                  <v>TN 01</v>
                </pt>
                <pt idx="1">
                  <v>TN 03</v>
                </pt>
                <pt idx="2">
                  <v>TN 04</v>
                </pt>
                <pt idx="3">
                  <v>TN 29</v>
                </pt>
                <pt idx="4">
                  <v>TN 31</v>
                </pt>
                <pt idx="5">
                  <v>TN 72</v>
                </pt>
                <pt idx="6">
                  <v>TN 73</v>
                </pt>
                <pt idx="7">
                  <v>TN 74</v>
                </pt>
                <pt idx="8">
                  <v>TN 76</v>
                </pt>
                <pt idx="9">
                  <v>TN78</v>
                </pt>
              </strCache>
            </strRef>
          </cat>
          <val>
            <numRef>
              <f>'NOVEMBRO 2025'!$G$29:$G$38</f>
              <numCache>
                <formatCode>0.00</formatCode>
                <ptCount val="10"/>
                <pt idx="0">
                  <v>-84</v>
                </pt>
                <pt idx="1">
                  <v>-25589</v>
                </pt>
                <pt idx="2">
                  <v>0</v>
                </pt>
                <pt idx="3">
                  <v>0</v>
                </pt>
                <pt idx="4">
                  <v>-25610</v>
                </pt>
                <pt idx="5">
                  <v>-109814</v>
                </pt>
                <pt idx="6">
                  <v>-12954</v>
                </pt>
                <pt idx="7">
                  <v>-19333</v>
                </pt>
                <pt idx="8">
                  <v>-20577</v>
                </pt>
                <pt idx="9">
                  <v>-111391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94468344"/>
        <axId val="194469128"/>
      </barChart>
      <catAx>
        <axId val="194468344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94469128"/>
        <crosses val="autoZero"/>
        <auto val="1"/>
        <lblAlgn val="ctr"/>
        <lblOffset val="100"/>
        <noMultiLvlLbl val="0"/>
      </catAx>
      <valAx>
        <axId val="194469128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94468344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ACUMULADO MÊS</a:t>
            </a:r>
            <a:r>
              <a:rPr lang="en-US"/>
              <a:t>.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JANEIRO!$G$28</f>
              <strCache>
                <ptCount val="1"/>
                <pt idx="0">
                  <v>ACUM.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JANEIRO!$A$29:$A$38</f>
              <strCache>
                <ptCount val="10"/>
                <pt idx="0">
                  <v>TN 01</v>
                </pt>
                <pt idx="1">
                  <v>TN 03</v>
                </pt>
                <pt idx="2">
                  <v>TN 04</v>
                </pt>
                <pt idx="3">
                  <v>TN 29</v>
                </pt>
                <pt idx="4">
                  <v>TN 31</v>
                </pt>
                <pt idx="5">
                  <v>TN 72</v>
                </pt>
                <pt idx="6">
                  <v>TN 73</v>
                </pt>
                <pt idx="7">
                  <v>TN 74</v>
                </pt>
                <pt idx="8">
                  <v>TN 76</v>
                </pt>
                <pt idx="9">
                  <v>TN78</v>
                </pt>
              </strCache>
            </strRef>
          </cat>
          <val>
            <numRef>
              <f>JANEIRO!$G$29:$G$38</f>
              <numCache>
                <formatCode>0.00</formatCode>
                <ptCount val="10"/>
                <pt idx="0">
                  <v>0</v>
                </pt>
                <pt idx="1">
                  <v>0</v>
                </pt>
                <pt idx="2">
                  <v>27542</v>
                </pt>
                <pt idx="3">
                  <v>2657</v>
                </pt>
                <pt idx="4">
                  <v>-28717</v>
                </pt>
                <pt idx="5">
                  <v>3099</v>
                </pt>
                <pt idx="6">
                  <v>0</v>
                </pt>
                <pt idx="7">
                  <v>-24337</v>
                </pt>
                <pt idx="8">
                  <v>27932</v>
                </pt>
                <pt idx="9">
                  <v>122927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209464024"/>
        <axId val="209459320"/>
      </barChart>
      <catAx>
        <axId val="209464024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209459320"/>
        <crosses val="autoZero"/>
        <auto val="1"/>
        <lblAlgn val="ctr"/>
        <lblOffset val="100"/>
        <noMultiLvlLbl val="0"/>
      </catAx>
      <valAx>
        <axId val="209459320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209464024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ACUMULADO MÊS</a:t>
            </a:r>
            <a:r>
              <a:rPr lang="en-US"/>
              <a:t>.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FEVEREIRO!$G$28</f>
              <strCache>
                <ptCount val="1"/>
                <pt idx="0">
                  <v>ACUM.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FEVEREIRO!$A$29:$A$38</f>
              <strCache>
                <ptCount val="10"/>
                <pt idx="0">
                  <v>TN 01</v>
                </pt>
                <pt idx="1">
                  <v>TN 03</v>
                </pt>
                <pt idx="2">
                  <v>TN 04</v>
                </pt>
                <pt idx="3">
                  <v>TN 29</v>
                </pt>
                <pt idx="4">
                  <v>TN 31</v>
                </pt>
                <pt idx="5">
                  <v>TN 72</v>
                </pt>
                <pt idx="6">
                  <v>TN 73</v>
                </pt>
                <pt idx="7">
                  <v>TN 74</v>
                </pt>
                <pt idx="8">
                  <v>TN 76</v>
                </pt>
                <pt idx="9">
                  <v>TN78</v>
                </pt>
              </strCache>
            </strRef>
          </cat>
          <val>
            <numRef>
              <f>FEVEREIRO!$G$29:$G$38</f>
              <numCache>
                <formatCode>0.00</formatCode>
                <ptCount val="10"/>
                <pt idx="0">
                  <v>-37122</v>
                </pt>
                <pt idx="1">
                  <v>-34615</v>
                </pt>
                <pt idx="2">
                  <v>-28821</v>
                </pt>
                <pt idx="3">
                  <v>0</v>
                </pt>
                <pt idx="4">
                  <v>-31278</v>
                </pt>
                <pt idx="5">
                  <v>0</v>
                </pt>
                <pt idx="6">
                  <v>-444</v>
                </pt>
                <pt idx="7">
                  <v>0</v>
                </pt>
                <pt idx="8">
                  <v>-28708</v>
                </pt>
                <pt idx="9">
                  <v>-124079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209460888"/>
        <axId val="209465984"/>
      </barChart>
      <catAx>
        <axId val="20946088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209465984"/>
        <crosses val="autoZero"/>
        <auto val="1"/>
        <lblAlgn val="ctr"/>
        <lblOffset val="100"/>
        <noMultiLvlLbl val="0"/>
      </catAx>
      <valAx>
        <axId val="209465984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209460888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ACUMULADO MÊS</a:t>
            </a:r>
            <a:r>
              <a:rPr lang="en-US"/>
              <a:t>.</a:t>
            </a:r>
          </a:p>
        </rich>
      </tx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'MARÇO '!$G$28</f>
              <strCache>
                <ptCount val="1"/>
                <pt idx="0">
                  <v>ACUM.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'MARÇO '!$A$29:$A$38</f>
              <strCache>
                <ptCount val="10"/>
                <pt idx="0">
                  <v>TN 01</v>
                </pt>
                <pt idx="1">
                  <v>TN 03</v>
                </pt>
                <pt idx="2">
                  <v>TN 04</v>
                </pt>
                <pt idx="3">
                  <v>TN 29</v>
                </pt>
                <pt idx="4">
                  <v>TN 31</v>
                </pt>
                <pt idx="5">
                  <v>TN 72</v>
                </pt>
                <pt idx="6">
                  <v>TN 73</v>
                </pt>
                <pt idx="7">
                  <v>TN 74</v>
                </pt>
                <pt idx="8">
                  <v>TN 76</v>
                </pt>
                <pt idx="9">
                  <v>TN78</v>
                </pt>
              </strCache>
            </strRef>
          </cat>
          <val>
            <numRef>
              <f>'MARÇO '!$G$29:$G$38</f>
              <numCache>
                <formatCode>0.00</formatCode>
                <ptCount val="10"/>
                <pt idx="0">
                  <v>-38073</v>
                </pt>
                <pt idx="1">
                  <v>0</v>
                </pt>
                <pt idx="2">
                  <v>-32041</v>
                </pt>
                <pt idx="3">
                  <v>-52422</v>
                </pt>
                <pt idx="4">
                  <v>-32286</v>
                </pt>
                <pt idx="5">
                  <v>0</v>
                </pt>
                <pt idx="6">
                  <v>0</v>
                </pt>
                <pt idx="7">
                  <v>-33200</v>
                </pt>
                <pt idx="8">
                  <v>-30851</v>
                </pt>
                <pt idx="9">
                  <v>-126961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209459712"/>
        <axId val="209458928"/>
      </barChart>
      <catAx>
        <axId val="209459712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209458928"/>
        <crosses val="autoZero"/>
        <auto val="1"/>
        <lblAlgn val="ctr"/>
        <lblOffset val="100"/>
        <noMultiLvlLbl val="0"/>
      </catAx>
      <valAx>
        <axId val="209458928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209459712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ACUMULADO MÊS</a:t>
            </a:r>
            <a:r>
              <a:rPr lang="en-US"/>
              <a:t>.</a:t>
            </a:r>
          </a:p>
        </rich>
      </tx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'ABRIL '!$G$28</f>
              <strCache>
                <ptCount val="1"/>
                <pt idx="0">
                  <v>ACUM.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'ABRIL '!$A$29:$A$38</f>
              <strCache>
                <ptCount val="10"/>
                <pt idx="0">
                  <v>TN 01</v>
                </pt>
                <pt idx="1">
                  <v>TN 03</v>
                </pt>
                <pt idx="2">
                  <v>TN 04</v>
                </pt>
                <pt idx="3">
                  <v>TN 29</v>
                </pt>
                <pt idx="4">
                  <v>TN 31</v>
                </pt>
                <pt idx="5">
                  <v>TN 72</v>
                </pt>
                <pt idx="6">
                  <v>TN 73</v>
                </pt>
                <pt idx="7">
                  <v>TN 74</v>
                </pt>
                <pt idx="8">
                  <v>TN 76</v>
                </pt>
                <pt idx="9">
                  <v>TN78</v>
                </pt>
              </strCache>
            </strRef>
          </cat>
          <val>
            <numRef>
              <f>'ABRIL '!$G$29:$G$38</f>
              <numCache>
                <formatCode>0.00</formatCode>
                <ptCount val="10"/>
                <pt idx="0">
                  <v>0</v>
                </pt>
                <pt idx="1">
                  <v>-41769</v>
                </pt>
                <pt idx="2">
                  <v>-34611</v>
                </pt>
                <pt idx="3">
                  <v>-55211</v>
                </pt>
                <pt idx="4">
                  <v>-34580</v>
                </pt>
                <pt idx="5">
                  <v>0</v>
                </pt>
                <pt idx="6">
                  <v>0</v>
                </pt>
                <pt idx="7">
                  <v>-36130</v>
                </pt>
                <pt idx="8">
                  <v>-33247</v>
                </pt>
                <pt idx="9">
                  <v>-130221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209463240"/>
        <axId val="209465592"/>
      </barChart>
      <catAx>
        <axId val="209463240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209465592"/>
        <crosses val="autoZero"/>
        <auto val="1"/>
        <lblAlgn val="ctr"/>
        <lblOffset val="100"/>
        <noMultiLvlLbl val="0"/>
      </catAx>
      <valAx>
        <axId val="20946559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20946324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ACUMULADO MÊS</a:t>
            </a:r>
            <a:r>
              <a:rPr lang="en-US"/>
              <a:t>.</a:t>
            </a:r>
          </a:p>
        </rich>
      </tx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'MAIO '!$G$28</f>
              <strCache>
                <ptCount val="1"/>
                <pt idx="0">
                  <v>ACUM.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'MAIO '!$A$29:$A$38</f>
              <strCache>
                <ptCount val="10"/>
                <pt idx="0">
                  <v>TN 01</v>
                </pt>
                <pt idx="1">
                  <v>TN 03</v>
                </pt>
                <pt idx="2">
                  <v>TN 04</v>
                </pt>
                <pt idx="3">
                  <v>TN 29</v>
                </pt>
                <pt idx="4">
                  <v>TN 31</v>
                </pt>
                <pt idx="5">
                  <v>TN 72</v>
                </pt>
                <pt idx="6">
                  <v>TN 73</v>
                </pt>
                <pt idx="7">
                  <v>TN 74</v>
                </pt>
                <pt idx="8">
                  <v>TN 76</v>
                </pt>
                <pt idx="9">
                  <v>TN78</v>
                </pt>
              </strCache>
            </strRef>
          </cat>
          <val>
            <numRef>
              <f>'MAIO '!$G$29:$G$38</f>
              <numCache>
                <formatCode>0.00</formatCode>
                <ptCount val="10"/>
                <pt idx="0">
                  <v>0</v>
                </pt>
                <pt idx="1">
                  <v>-43945</v>
                </pt>
                <pt idx="2">
                  <v>-37864</v>
                </pt>
                <pt idx="3">
                  <v>-59231</v>
                </pt>
                <pt idx="4">
                  <v>0</v>
                </pt>
                <pt idx="5">
                  <v>-126963</v>
                </pt>
                <pt idx="6">
                  <v>-1864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209465200"/>
        <axId val="209460496"/>
      </barChart>
      <catAx>
        <axId val="209465200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209460496"/>
        <crosses val="autoZero"/>
        <auto val="1"/>
        <lblAlgn val="ctr"/>
        <lblOffset val="100"/>
        <noMultiLvlLbl val="0"/>
      </catAx>
      <valAx>
        <axId val="20946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20946520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ACUMULADO MÊS</a:t>
            </a:r>
            <a:r>
              <a:rPr lang="en-US"/>
              <a:t>.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JUNHO!$G$28</f>
              <strCache>
                <ptCount val="1"/>
                <pt idx="0">
                  <v>ACUM.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JUNHO!$A$29:$A$38</f>
              <strCache>
                <ptCount val="10"/>
                <pt idx="0">
                  <v>TN 01</v>
                </pt>
                <pt idx="1">
                  <v>TN 03</v>
                </pt>
                <pt idx="2">
                  <v>TN 04</v>
                </pt>
                <pt idx="3">
                  <v>TN 29</v>
                </pt>
                <pt idx="4">
                  <v>TN 31</v>
                </pt>
                <pt idx="5">
                  <v>TN 72</v>
                </pt>
                <pt idx="6">
                  <v>TN 73</v>
                </pt>
                <pt idx="7">
                  <v>TN 74</v>
                </pt>
                <pt idx="8">
                  <v>TN 76</v>
                </pt>
                <pt idx="9">
                  <v>TN78</v>
                </pt>
              </strCache>
            </strRef>
          </cat>
          <val>
            <numRef>
              <f>JUNHO!$G$29:$G$38</f>
              <numCache>
                <formatCode>0.00</formatCode>
                <ptCount val="10"/>
                <pt idx="0">
                  <v>-1519</v>
                </pt>
                <pt idx="1">
                  <v>-47764</v>
                </pt>
                <pt idx="2">
                  <v>-40416</v>
                </pt>
                <pt idx="3">
                  <v>0</v>
                </pt>
                <pt idx="4">
                  <v>-38383</v>
                </pt>
                <pt idx="5">
                  <v>-131025</v>
                </pt>
                <pt idx="6">
                  <v>-4235</v>
                </pt>
                <pt idx="7">
                  <v>-42411</v>
                </pt>
                <pt idx="8">
                  <v>0</v>
                </pt>
                <pt idx="9">
                  <v>-138448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209458536"/>
        <axId val="209461280"/>
      </barChart>
      <catAx>
        <axId val="209458536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209461280"/>
        <crosses val="autoZero"/>
        <auto val="1"/>
        <lblAlgn val="ctr"/>
        <lblOffset val="100"/>
        <noMultiLvlLbl val="0"/>
      </catAx>
      <valAx>
        <axId val="209461280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2094585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ACUMULADO MÊS</a:t>
            </a:r>
            <a:r>
              <a:rPr lang="en-US"/>
              <a:t>.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JULHO!$G$28</f>
              <strCache>
                <ptCount val="1"/>
                <pt idx="0">
                  <v>ACUM.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JULHO!$A$29:$A$38</f>
              <strCache>
                <ptCount val="10"/>
                <pt idx="0">
                  <v>TN 01</v>
                </pt>
                <pt idx="1">
                  <v>TN 03</v>
                </pt>
                <pt idx="2">
                  <v>TN 04</v>
                </pt>
                <pt idx="3">
                  <v>TN 29</v>
                </pt>
                <pt idx="4">
                  <v>TN 31</v>
                </pt>
                <pt idx="5">
                  <v>TN 72</v>
                </pt>
                <pt idx="6">
                  <v>TN 73</v>
                </pt>
                <pt idx="7">
                  <v>TN 74</v>
                </pt>
                <pt idx="8">
                  <v>TN 76</v>
                </pt>
                <pt idx="9">
                  <v>TN78</v>
                </pt>
              </strCache>
            </strRef>
          </cat>
          <val>
            <numRef>
              <f>JULHO!$G$29:$G$38</f>
              <numCache>
                <formatCode>0.00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-64365</v>
                </pt>
                <pt idx="4">
                  <v>0</v>
                </pt>
                <pt idx="5">
                  <v>0</v>
                </pt>
                <pt idx="6">
                  <v>-5485</v>
                </pt>
                <pt idx="7">
                  <v>-45046</v>
                </pt>
                <pt idx="8">
                  <v>0</v>
                </pt>
                <pt idx="9">
                  <v>-141141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209460104"/>
        <axId val="211133112"/>
      </barChart>
      <catAx>
        <axId val="209460104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211133112"/>
        <crosses val="autoZero"/>
        <auto val="1"/>
        <lblAlgn val="ctr"/>
        <lblOffset val="100"/>
        <noMultiLvlLbl val="0"/>
      </catAx>
      <valAx>
        <axId val="21113311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209460104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ACUMULADO MÊS.</a:t>
            </a:r>
          </a:p>
        </rich>
      </tx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80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AGOSTO!$G$27</f>
              <strCache>
                <ptCount val="1"/>
                <pt idx="0">
                  <v>ACUM.</v>
                </pt>
              </strCache>
            </strRef>
          </tx>
          <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BR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AGOSTO!$A$28:$A$36</f>
              <strCache>
                <ptCount val="9"/>
                <pt idx="0">
                  <v>TN 01</v>
                </pt>
                <pt idx="1">
                  <v>TN 03</v>
                </pt>
                <pt idx="2">
                  <v>TN 04</v>
                </pt>
                <pt idx="3">
                  <v>TN 29</v>
                </pt>
                <pt idx="4">
                  <v>TN 31</v>
                </pt>
                <pt idx="5">
                  <v>TN 72</v>
                </pt>
                <pt idx="6">
                  <v>TN 73</v>
                </pt>
                <pt idx="7">
                  <v>TN 74</v>
                </pt>
                <pt idx="8">
                  <v>TN78</v>
                </pt>
              </strCache>
            </strRef>
          </cat>
          <val>
            <numRef>
              <f>AGOSTO!$G$28:$G$36</f>
              <numCache>
                <formatCode>0.00</formatCode>
                <ptCount val="9"/>
                <pt idx="0">
                  <v>0</v>
                </pt>
                <pt idx="1">
                  <v>-51951</v>
                </pt>
                <pt idx="2">
                  <v>-43927</v>
                </pt>
                <pt idx="3">
                  <v>-68189</v>
                </pt>
                <pt idx="4">
                  <v>-41324</v>
                </pt>
                <pt idx="5">
                  <v>-3496</v>
                </pt>
                <pt idx="6">
                  <v>0</v>
                </pt>
                <pt idx="7">
                  <v>-7168</v>
                </pt>
                <pt idx="8">
                  <v>-145668</v>
                </pt>
              </numCache>
            </numRef>
          </val>
        </ser>
        <dLbls>
          <dLblPos val="inEnd"/>
          <showLegendKey val="0"/>
          <showVal val="1"/>
          <showCatName val="0"/>
          <showSerName val="0"/>
          <showPercent val="0"/>
          <showBubbleSize val="0"/>
        </dLbls>
        <gapWidth val="65"/>
        <axId val="211137032"/>
        <axId val="211132328"/>
      </barChart>
      <catAx>
        <axId val="211137032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211132328"/>
        <crosses val="autoZero"/>
        <auto val="1"/>
        <lblAlgn val="ctr"/>
        <lblOffset val="100"/>
        <noMultiLvlLbl val="0"/>
      </catAx>
      <valAx>
        <axId val="211132328"/>
        <scaling>
          <orientation val="minMax"/>
        </scaling>
        <delete val="0"/>
        <axPos val="b"/>
        <majorGridlines>
          <spPr>
            <a:ln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211137032"/>
        <crosses val="autoZero"/>
        <crossBetween val="between"/>
      </valAx>
    </plotArea>
    <plotVisOnly val="1"/>
    <dispBlanksAs val="gap"/>
  </chart>
  <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tc={E8ABC1AD-BDBA-4F50-9F94-DAF50EA48223}</author>
  </authors>
  <commentList>
    <comment ref="K8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em revisão</t>
      </text>
    </comment>
  </commentList>
</comments>
</file>

<file path=xl/comments/comment2.xml><?xml version="1.0" encoding="utf-8"?>
<comments xmlns="http://schemas.openxmlformats.org/spreadsheetml/2006/main">
  <authors>
    <author>tc={A5D0D4C2-AD84-457E-911E-1CAB365A2126}</author>
    <author>tc={6743AAC8-01A1-491B-8174-A1FB832B15B1}</author>
  </authors>
  <commentList>
    <comment ref="J8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em revisão</t>
      </text>
    </comment>
    <comment ref="K8" authorId="1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em revisão</t>
      </text>
    </comment>
  </commentList>
</comments>
</file>

<file path=xl/comments/comment3.xml><?xml version="1.0" encoding="utf-8"?>
<comments xmlns="http://schemas.openxmlformats.org/spreadsheetml/2006/main">
  <authors>
    <author>tc={F25A204B-52C6-4850-ADD5-5B7BD2D3A32D}</author>
    <author>tc={AD3A3DC0-7D35-4B55-ABC2-BAA7A84147E1}</author>
  </authors>
  <commentList>
    <comment ref="J8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em revisão</t>
      </text>
    </comment>
    <comment ref="K8" authorId="1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em revisão</t>
      </text>
    </comment>
  </commentList>
</comments>
</file>

<file path=xl/comments/comment4.xml><?xml version="1.0" encoding="utf-8"?>
<comments xmlns="http://schemas.openxmlformats.org/spreadsheetml/2006/main">
  <authors>
    <author>tc={D0C4B5EC-DF50-4AB7-AA7F-AAC3C0669545}</author>
    <author>tc={F729397B-B7A6-4829-8076-38C7728E53C3}</author>
  </authors>
  <commentList>
    <comment ref="J8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em revisão</t>
      </text>
    </comment>
    <comment ref="K8" authorId="1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em revisão</t>
      </text>
    </comment>
  </commentList>
</comments>
</file>

<file path=xl/comments/comment5.xml><?xml version="1.0" encoding="utf-8"?>
<comments xmlns="http://schemas.openxmlformats.org/spreadsheetml/2006/main">
  <authors>
    <author>tc={ED6875E9-F6A5-4E29-BE0C-BA484DC4A5D2}</author>
    <author>tc={A5FE2FB1-795E-491A-AB03-CEDF72B1B60E}</author>
  </authors>
  <commentList>
    <comment ref="J8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em revisão</t>
      </text>
    </comment>
    <comment ref="K8" authorId="1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em revisão</t>
      </text>
    </comment>
  </commentList>
</comments>
</file>

<file path=xl/comments/comment6.xml><?xml version="1.0" encoding="utf-8"?>
<comments xmlns="http://schemas.openxmlformats.org/spreadsheetml/2006/main">
  <authors>
    <author>tc={C9D04906-D913-400F-AFF7-8C82B49D6A63}</author>
    <author>tc={EB4032F3-BDC7-4633-A184-38679B3E9512}</author>
  </authors>
  <commentList>
    <comment ref="J8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em revisão</t>
      </text>
    </comment>
    <comment ref="K8" authorId="1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em revisão</t>
      </text>
    </comment>
  </commentList>
</comments>
</file>

<file path=xl/comments/comment7.xml><?xml version="1.0" encoding="utf-8"?>
<comments xmlns="http://schemas.openxmlformats.org/spreadsheetml/2006/main">
  <authors>
    <author>tc={D904A939-B44C-4EF7-A66F-95802E834E5F}</author>
    <author>tc={07B677D2-F6D6-48D0-B7FF-D8C1179AD4C2}</author>
  </authors>
  <commentList>
    <comment ref="J8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em revisão</t>
      </text>
    </comment>
    <comment ref="K8" authorId="1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em revisão</t>
      </text>
    </comment>
  </commentList>
</comments>
</file>

<file path=xl/comments/comment8.xml><?xml version="1.0" encoding="utf-8"?>
<comments xmlns="http://schemas.openxmlformats.org/spreadsheetml/2006/main">
  <authors>
    <author>tc={AF985B2F-EFB1-4037-9CB6-F6817C5F3070}</author>
    <author>tc={2A1B3E75-A7BC-4149-8A7C-E47C965715EE}</author>
  </authors>
  <commentList>
    <comment ref="J8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em revisão</t>
      </text>
    </comment>
    <comment ref="K8" authorId="1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em revisão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119846</colOff>
      <row>25</row>
      <rowOff>32555</rowOff>
    </from>
    <to>
      <col>13</col>
      <colOff>622480</colOff>
      <row>38</row>
      <rowOff>155262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119846</colOff>
      <row>25</row>
      <rowOff>32555</rowOff>
    </from>
    <to>
      <col>13</col>
      <colOff>622480</colOff>
      <row>38</row>
      <rowOff>155262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119846</colOff>
      <row>25</row>
      <rowOff>32555</rowOff>
    </from>
    <to>
      <col>13</col>
      <colOff>622480</colOff>
      <row>38</row>
      <rowOff>155262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119846</colOff>
      <row>25</row>
      <rowOff>32555</rowOff>
    </from>
    <to>
      <col>13</col>
      <colOff>622480</colOff>
      <row>38</row>
      <rowOff>155262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119846</colOff>
      <row>25</row>
      <rowOff>32555</rowOff>
    </from>
    <to>
      <col>13</col>
      <colOff>622480</colOff>
      <row>38</row>
      <rowOff>155262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119846</colOff>
      <row>25</row>
      <rowOff>32555</rowOff>
    </from>
    <to>
      <col>13</col>
      <colOff>622480</colOff>
      <row>38</row>
      <rowOff>155262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119846</colOff>
      <row>25</row>
      <rowOff>32555</rowOff>
    </from>
    <to>
      <col>13</col>
      <colOff>622480</colOff>
      <row>38</row>
      <rowOff>155262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119846</colOff>
      <row>25</row>
      <rowOff>32555</rowOff>
    </from>
    <to>
      <col>13</col>
      <colOff>622480</colOff>
      <row>38</row>
      <rowOff>155262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119846</colOff>
      <row>25</row>
      <rowOff>32555</rowOff>
    </from>
    <to>
      <col>13</col>
      <colOff>622480</colOff>
      <row>38</row>
      <rowOff>155262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119846</colOff>
      <row>24</row>
      <rowOff>32555</rowOff>
    </from>
    <to>
      <col>13</col>
      <colOff>622480</colOff>
      <row>36</row>
      <rowOff>155262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topLeftCell="A2" zoomScale="90" zoomScaleNormal="90" workbookViewId="0">
      <selection activeCell="D27" sqref="D27"/>
    </sheetView>
  </sheetViews>
  <sheetFormatPr baseColWidth="8" defaultRowHeight="14.3"/>
  <cols>
    <col width="14.5" customWidth="1" min="1" max="1"/>
    <col width="18.5" bestFit="1" customWidth="1" min="2" max="2"/>
    <col width="8.5" customWidth="1" min="3" max="3"/>
    <col width="12.5" customWidth="1" min="4" max="4"/>
    <col width="11.5" customWidth="1" min="5" max="5"/>
    <col width="12.5" customWidth="1" min="6" max="7"/>
    <col width="18.5" bestFit="1" customWidth="1" min="8" max="8"/>
    <col width="20.5" customWidth="1" min="9" max="10"/>
    <col width="17.5" customWidth="1" min="11" max="11"/>
    <col width="12.875" customWidth="1" min="12" max="12"/>
    <col width="12.125" customWidth="1" min="14" max="14"/>
  </cols>
  <sheetData>
    <row r="1"/>
    <row r="2" ht="41.45" customHeight="1">
      <c r="A2" s="8" t="inlineStr">
        <is>
          <t xml:space="preserve">CONTROLE DE KM - COORDENAÇÃO CIARA ZANELATO 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</row>
    <row r="3" ht="27.7" customHeight="1">
      <c r="A3" s="290" t="inlineStr">
        <is>
          <t xml:space="preserve">Veículos Cadastrados </t>
        </is>
      </c>
      <c r="B3" s="321" t="n"/>
      <c r="C3" s="321" t="n"/>
      <c r="D3" s="321" t="n"/>
      <c r="E3" s="321" t="n"/>
      <c r="F3" s="321" t="n"/>
      <c r="G3" s="321" t="n"/>
      <c r="H3" s="321" t="n"/>
      <c r="I3" s="321" t="n"/>
      <c r="J3" s="321" t="n"/>
      <c r="K3" s="321" t="n"/>
      <c r="L3" s="321" t="n"/>
    </row>
    <row r="4" ht="18" customHeight="1">
      <c r="A4" s="1" t="inlineStr">
        <is>
          <t>Tipo</t>
        </is>
      </c>
      <c r="B4" s="1" t="inlineStr">
        <is>
          <t xml:space="preserve">Modelos </t>
        </is>
      </c>
      <c r="C4" s="1" t="inlineStr">
        <is>
          <t>Tag</t>
        </is>
      </c>
      <c r="D4" s="1" t="inlineStr">
        <is>
          <t>Locadora</t>
        </is>
      </c>
      <c r="E4" s="1" t="inlineStr">
        <is>
          <t>Localidade</t>
        </is>
      </c>
      <c r="F4" s="1" t="inlineStr">
        <is>
          <t>Placa</t>
        </is>
      </c>
      <c r="G4" s="1" t="inlineStr">
        <is>
          <t>SSO</t>
        </is>
      </c>
      <c r="H4" s="1" t="inlineStr">
        <is>
          <t>Condutores</t>
        </is>
      </c>
      <c r="I4" s="1" t="inlineStr">
        <is>
          <t>SEMANA 02</t>
        </is>
      </c>
      <c r="J4" s="1" t="inlineStr">
        <is>
          <t>KM ANTERIOR</t>
        </is>
      </c>
      <c r="K4" s="1" t="inlineStr">
        <is>
          <t>KM  ATUAL</t>
        </is>
      </c>
      <c r="L4" s="2" t="inlineStr">
        <is>
          <t xml:space="preserve">Validade </t>
        </is>
      </c>
    </row>
    <row r="5" ht="14.1" customHeight="1">
      <c r="A5" s="3" t="inlineStr">
        <is>
          <t>Caminhonete</t>
        </is>
      </c>
      <c r="B5" s="298" t="inlineStr">
        <is>
          <t>CHEVROLET S10</t>
        </is>
      </c>
      <c r="C5" s="3" t="inlineStr">
        <is>
          <t>TN 29</t>
        </is>
      </c>
      <c r="D5" s="3" t="inlineStr">
        <is>
          <t>Sonda</t>
        </is>
      </c>
      <c r="E5" s="3" t="inlineStr">
        <is>
          <t>CKS</t>
        </is>
      </c>
      <c r="F5" s="3" t="inlineStr">
        <is>
          <t>FXR0F35</t>
        </is>
      </c>
      <c r="G5" s="3" t="inlineStr">
        <is>
          <t>CARAJÁS</t>
        </is>
      </c>
      <c r="H5" s="10" t="inlineStr">
        <is>
          <t>JOÃO TAVARES</t>
        </is>
      </c>
      <c r="I5" s="7" t="n">
        <v>45639</v>
      </c>
      <c r="J5" s="13" t="n">
        <v>139318</v>
      </c>
      <c r="K5" s="13" t="n">
        <v>141017</v>
      </c>
      <c r="L5" s="4" t="n">
        <v>45799</v>
      </c>
    </row>
    <row r="6">
      <c r="A6" s="11" t="inlineStr">
        <is>
          <t>Caminhonete</t>
        </is>
      </c>
      <c r="B6" s="6" t="inlineStr">
        <is>
          <t xml:space="preserve">L200 - Triton </t>
        </is>
      </c>
      <c r="C6" s="11" t="inlineStr">
        <is>
          <t>TN 31</t>
        </is>
      </c>
      <c r="D6" s="11" t="inlineStr">
        <is>
          <t>SINAL</t>
        </is>
      </c>
      <c r="E6" s="11" t="inlineStr">
        <is>
          <t>CKS</t>
        </is>
      </c>
      <c r="F6" s="11" t="inlineStr">
        <is>
          <t>RXG6G10</t>
        </is>
      </c>
      <c r="G6" s="11" t="inlineStr">
        <is>
          <t>CARAJÁS</t>
        </is>
      </c>
      <c r="H6" s="12" t="inlineStr">
        <is>
          <t>CELIMARIO</t>
        </is>
      </c>
      <c r="I6" s="7" t="n">
        <v>45639</v>
      </c>
      <c r="J6" s="13" t="n"/>
      <c r="K6" s="13" t="n">
        <v>46959</v>
      </c>
      <c r="L6" s="7" t="n">
        <v>45657</v>
      </c>
    </row>
    <row r="7">
      <c r="A7" s="6" t="inlineStr">
        <is>
          <t>Caminhonete</t>
        </is>
      </c>
      <c r="B7" s="6" t="inlineStr">
        <is>
          <t xml:space="preserve">FORD RANGER </t>
        </is>
      </c>
      <c r="C7" s="6" t="inlineStr">
        <is>
          <t>TN 72</t>
        </is>
      </c>
      <c r="D7" s="6" t="inlineStr">
        <is>
          <t>Sonda</t>
        </is>
      </c>
      <c r="E7" s="6" t="inlineStr">
        <is>
          <t>CKS</t>
        </is>
      </c>
      <c r="F7" s="6" t="inlineStr">
        <is>
          <t>FXD9A18</t>
        </is>
      </c>
      <c r="G7" s="6" t="inlineStr">
        <is>
          <t>CARAJÁS</t>
        </is>
      </c>
      <c r="H7" s="6" t="inlineStr">
        <is>
          <t>RAIMUNDO CHARLES</t>
        </is>
      </c>
      <c r="I7" s="7" t="n">
        <v>45639</v>
      </c>
      <c r="J7" s="13" t="n">
        <v>77589</v>
      </c>
      <c r="K7" s="13" t="n">
        <v>78474</v>
      </c>
      <c r="L7" s="7" t="n">
        <v>45835</v>
      </c>
    </row>
    <row r="8">
      <c r="A8" s="14" t="inlineStr">
        <is>
          <t>Caminhonete</t>
        </is>
      </c>
      <c r="B8" s="14" t="inlineStr">
        <is>
          <t>NISSAN FRONTIER</t>
        </is>
      </c>
      <c r="C8" s="14" t="inlineStr">
        <is>
          <t>TN 03</t>
        </is>
      </c>
      <c r="D8" s="14" t="inlineStr">
        <is>
          <t>SINAL</t>
        </is>
      </c>
      <c r="E8" s="14" t="inlineStr">
        <is>
          <t>CKS</t>
        </is>
      </c>
      <c r="F8" s="14" t="inlineStr">
        <is>
          <t>RXD1B51</t>
        </is>
      </c>
      <c r="G8" s="14" t="inlineStr">
        <is>
          <t>CARAJÁS</t>
        </is>
      </c>
      <c r="H8" s="14" t="inlineStr">
        <is>
          <t>VALE</t>
        </is>
      </c>
      <c r="I8" s="15" t="n">
        <v>45632</v>
      </c>
      <c r="J8" s="16" t="n">
        <v>19446</v>
      </c>
      <c r="K8" s="16" t="n">
        <v>20284</v>
      </c>
      <c r="L8" s="15" t="n">
        <v>45657</v>
      </c>
    </row>
    <row r="9">
      <c r="A9" s="6" t="inlineStr">
        <is>
          <t>Veículo Leve</t>
        </is>
      </c>
      <c r="B9" s="11" t="inlineStr">
        <is>
          <t>JEEP RENEGADE</t>
        </is>
      </c>
      <c r="C9" s="11" t="inlineStr">
        <is>
          <t>TN 02</t>
        </is>
      </c>
      <c r="D9" s="11" t="inlineStr">
        <is>
          <t>LOCALIZA</t>
        </is>
      </c>
      <c r="E9" s="11" t="inlineStr">
        <is>
          <t>CKS</t>
        </is>
      </c>
      <c r="F9" s="11" t="inlineStr">
        <is>
          <t>SHN4H64</t>
        </is>
      </c>
      <c r="G9" s="11" t="inlineStr">
        <is>
          <t>CARAJÁS</t>
        </is>
      </c>
      <c r="H9" s="6" t="inlineStr">
        <is>
          <t xml:space="preserve">MELQUISEDEC </t>
        </is>
      </c>
      <c r="I9" s="7" t="n">
        <v>45639</v>
      </c>
      <c r="J9" s="13" t="n">
        <v>34243</v>
      </c>
      <c r="K9" s="13" t="n">
        <v>35371</v>
      </c>
      <c r="L9" s="7" t="n">
        <v>45889</v>
      </c>
    </row>
    <row r="10">
      <c r="A10" s="6" t="inlineStr">
        <is>
          <t>Caminhonete</t>
        </is>
      </c>
      <c r="B10" s="11" t="inlineStr">
        <is>
          <t>NISSAN FRONTIER</t>
        </is>
      </c>
      <c r="C10" s="6" t="inlineStr">
        <is>
          <t>TN 74</t>
        </is>
      </c>
      <c r="D10" s="6" t="inlineStr">
        <is>
          <t>SINAL</t>
        </is>
      </c>
      <c r="E10" s="6" t="inlineStr">
        <is>
          <t>CKS</t>
        </is>
      </c>
      <c r="F10" s="6" t="inlineStr">
        <is>
          <t>RXD1B11</t>
        </is>
      </c>
      <c r="G10" s="6" t="inlineStr">
        <is>
          <t>CARAJÁS</t>
        </is>
      </c>
      <c r="H10" s="6" t="inlineStr">
        <is>
          <t>ERICK DA MATTA</t>
        </is>
      </c>
      <c r="I10" s="7" t="n">
        <v>45639</v>
      </c>
      <c r="J10" s="13" t="n">
        <v>31303</v>
      </c>
      <c r="K10" s="13" t="n">
        <v>31562</v>
      </c>
      <c r="L10" s="7" t="n">
        <v>45657</v>
      </c>
    </row>
    <row r="11">
      <c r="A11" s="6" t="inlineStr">
        <is>
          <t>Caminhonete</t>
        </is>
      </c>
      <c r="B11" s="11" t="inlineStr">
        <is>
          <t>NISSAN FRONTIER</t>
        </is>
      </c>
      <c r="C11" s="6" t="inlineStr">
        <is>
          <t>TN 75</t>
        </is>
      </c>
      <c r="D11" s="6" t="inlineStr">
        <is>
          <t>SINAL</t>
        </is>
      </c>
      <c r="E11" s="6" t="inlineStr">
        <is>
          <t>CKS</t>
        </is>
      </c>
      <c r="F11" s="6" t="inlineStr">
        <is>
          <t>RXB4A21</t>
        </is>
      </c>
      <c r="G11" s="6" t="inlineStr">
        <is>
          <t>CARAJÁS</t>
        </is>
      </c>
      <c r="H11" s="6" t="inlineStr">
        <is>
          <t>JANDERSON COSTA</t>
        </is>
      </c>
      <c r="I11" s="7" t="n">
        <v>45639</v>
      </c>
      <c r="J11" s="13" t="n">
        <v>18647</v>
      </c>
      <c r="K11" s="13" t="n">
        <v>72605</v>
      </c>
      <c r="L11" s="7" t="n">
        <v>45657</v>
      </c>
    </row>
    <row r="12">
      <c r="A12" s="6" t="inlineStr">
        <is>
          <t>Caminhonete</t>
        </is>
      </c>
      <c r="B12" s="11" t="inlineStr">
        <is>
          <t>NISSAN FRONTIER</t>
        </is>
      </c>
      <c r="C12" s="6" t="inlineStr">
        <is>
          <t>TN 76</t>
        </is>
      </c>
      <c r="D12" s="6" t="inlineStr">
        <is>
          <t>SINAL</t>
        </is>
      </c>
      <c r="E12" s="6" t="inlineStr">
        <is>
          <t>CKS</t>
        </is>
      </c>
      <c r="F12" s="6" t="inlineStr">
        <is>
          <t>RXD0C41</t>
        </is>
      </c>
      <c r="G12" s="6" t="inlineStr">
        <is>
          <t>CARAJÁS</t>
        </is>
      </c>
      <c r="H12" s="6" t="inlineStr">
        <is>
          <t>JANDERSON COSTA</t>
        </is>
      </c>
      <c r="I12" s="7" t="n">
        <v>45639</v>
      </c>
      <c r="J12" s="13" t="n">
        <v>50107</v>
      </c>
      <c r="K12" s="13" t="n">
        <v>51087</v>
      </c>
      <c r="L12" s="7" t="n">
        <v>45657</v>
      </c>
    </row>
    <row r="13">
      <c r="A13" s="6" t="inlineStr">
        <is>
          <t>Caminhonete</t>
        </is>
      </c>
      <c r="B13" s="11" t="inlineStr">
        <is>
          <t>NISSAN FRONTIER</t>
        </is>
      </c>
      <c r="C13" s="6" t="inlineStr">
        <is>
          <t>TN 04</t>
        </is>
      </c>
      <c r="D13" s="6" t="inlineStr">
        <is>
          <t>SINAL</t>
        </is>
      </c>
      <c r="E13" s="6" t="inlineStr">
        <is>
          <t>CKS</t>
        </is>
      </c>
      <c r="F13" s="6" t="inlineStr">
        <is>
          <t>RXG2A49</t>
        </is>
      </c>
      <c r="G13" s="6" t="inlineStr">
        <is>
          <t>CARAJÁS</t>
        </is>
      </c>
      <c r="H13" s="6" t="inlineStr">
        <is>
          <t>RENATO RAMALHO</t>
        </is>
      </c>
      <c r="I13" s="7" t="n">
        <v>45639</v>
      </c>
      <c r="K13" s="13" t="n">
        <v>80822</v>
      </c>
      <c r="L13" s="7" t="n">
        <v>45657</v>
      </c>
    </row>
    <row r="14">
      <c r="A14" s="298" t="inlineStr">
        <is>
          <t>Caminhonete</t>
        </is>
      </c>
      <c r="B14" s="6" t="inlineStr">
        <is>
          <t xml:space="preserve">L200 - Triton </t>
        </is>
      </c>
      <c r="C14" s="298" t="inlineStr">
        <is>
          <t>TN 73</t>
        </is>
      </c>
      <c r="D14" s="298" t="inlineStr">
        <is>
          <t>SINAL</t>
        </is>
      </c>
      <c r="E14" s="298" t="inlineStr">
        <is>
          <t>CKS</t>
        </is>
      </c>
      <c r="F14" s="298" t="inlineStr">
        <is>
          <t>RXC2D41</t>
        </is>
      </c>
      <c r="G14" s="298" t="inlineStr">
        <is>
          <t>CARAJÁS</t>
        </is>
      </c>
      <c r="H14" s="298" t="inlineStr">
        <is>
          <t>WALDECYR CICERO</t>
        </is>
      </c>
      <c r="I14" s="7" t="n">
        <v>45639</v>
      </c>
      <c r="J14" s="13" t="n">
        <v>33076</v>
      </c>
      <c r="K14" s="13" t="n">
        <v>34079</v>
      </c>
      <c r="L14" s="4" t="n">
        <v>45657</v>
      </c>
    </row>
    <row r="15">
      <c r="A15" s="322" t="inlineStr">
        <is>
          <t>Veículos - Novos Cadastros</t>
        </is>
      </c>
      <c r="B15" s="323" t="n"/>
      <c r="C15" s="323" t="n"/>
      <c r="D15" s="323" t="n"/>
      <c r="E15" s="323" t="n"/>
      <c r="F15" s="323" t="n"/>
      <c r="G15" s="323" t="n"/>
      <c r="H15" s="323" t="n"/>
      <c r="I15" s="323" t="n"/>
      <c r="J15" s="323" t="n"/>
      <c r="K15" s="323" t="n"/>
      <c r="L15" s="324" t="n"/>
    </row>
    <row r="16">
      <c r="A16" s="1" t="inlineStr">
        <is>
          <t>Tipo</t>
        </is>
      </c>
      <c r="B16" s="1" t="inlineStr">
        <is>
          <t xml:space="preserve">Modelos </t>
        </is>
      </c>
      <c r="C16" s="1" t="inlineStr">
        <is>
          <t>Tag</t>
        </is>
      </c>
      <c r="D16" s="1" t="inlineStr">
        <is>
          <t>Locadora</t>
        </is>
      </c>
      <c r="E16" s="1" t="inlineStr">
        <is>
          <t>Localidade</t>
        </is>
      </c>
      <c r="F16" s="1" t="inlineStr">
        <is>
          <t>Placa</t>
        </is>
      </c>
      <c r="G16" s="1" t="inlineStr">
        <is>
          <t>SSO</t>
        </is>
      </c>
      <c r="H16" s="1" t="inlineStr">
        <is>
          <t>Condutores</t>
        </is>
      </c>
      <c r="I16" s="1" t="inlineStr">
        <is>
          <t>SEMANA 01</t>
        </is>
      </c>
      <c r="J16" s="1" t="n"/>
      <c r="K16" s="1" t="inlineStr">
        <is>
          <t xml:space="preserve">KM  </t>
        </is>
      </c>
      <c r="L16" s="2" t="inlineStr">
        <is>
          <t xml:space="preserve">Validade </t>
        </is>
      </c>
    </row>
  </sheetData>
  <mergeCells count="2">
    <mergeCell ref="A3:L3"/>
    <mergeCell ref="A15:L15"/>
  </mergeCells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topLeftCell="A2" zoomScale="90" zoomScaleNormal="90" workbookViewId="0">
      <selection activeCell="J14" sqref="J14"/>
    </sheetView>
  </sheetViews>
  <sheetFormatPr baseColWidth="8" defaultRowHeight="14.3"/>
  <cols>
    <col width="14.5" customWidth="1" min="1" max="1"/>
    <col width="18.5" bestFit="1" customWidth="1" min="2" max="2"/>
    <col width="8.5" customWidth="1" min="3" max="3"/>
    <col width="12.5" customWidth="1" min="4" max="4"/>
    <col width="11.5" customWidth="1" min="5" max="5"/>
    <col width="12.5" customWidth="1" min="6" max="7"/>
    <col width="18.5" bestFit="1" customWidth="1" min="8" max="8"/>
    <col width="20.5" customWidth="1" min="9" max="10"/>
    <col width="17.5" customWidth="1" min="11" max="11"/>
    <col width="12.875" customWidth="1" min="12" max="12"/>
    <col width="12.125" customWidth="1" min="14" max="14"/>
  </cols>
  <sheetData>
    <row r="1"/>
    <row r="2" ht="41.45" customHeight="1">
      <c r="A2" s="8" t="inlineStr">
        <is>
          <t xml:space="preserve">CONTROLE DE KM - COORDENAÇÃO CIARA ZANELATO 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</row>
    <row r="3" ht="27.7" customHeight="1">
      <c r="A3" s="290" t="inlineStr">
        <is>
          <t xml:space="preserve">Veículos Cadastrados </t>
        </is>
      </c>
      <c r="B3" s="321" t="n"/>
      <c r="C3" s="321" t="n"/>
      <c r="D3" s="321" t="n"/>
      <c r="E3" s="321" t="n"/>
      <c r="F3" s="321" t="n"/>
      <c r="G3" s="321" t="n"/>
      <c r="H3" s="321" t="n"/>
      <c r="I3" s="321" t="n"/>
      <c r="J3" s="321" t="n"/>
      <c r="K3" s="321" t="n"/>
      <c r="L3" s="321" t="n"/>
    </row>
    <row r="4" ht="18" customHeight="1">
      <c r="A4" s="1" t="inlineStr">
        <is>
          <t>Tipo</t>
        </is>
      </c>
      <c r="B4" s="1" t="inlineStr">
        <is>
          <t xml:space="preserve">Modelos </t>
        </is>
      </c>
      <c r="C4" s="1" t="inlineStr">
        <is>
          <t>Tag</t>
        </is>
      </c>
      <c r="D4" s="1" t="inlineStr">
        <is>
          <t>Locadora</t>
        </is>
      </c>
      <c r="E4" s="1" t="inlineStr">
        <is>
          <t>Localidade</t>
        </is>
      </c>
      <c r="F4" s="1" t="inlineStr">
        <is>
          <t>Placa</t>
        </is>
      </c>
      <c r="G4" s="1" t="inlineStr">
        <is>
          <t>SSO</t>
        </is>
      </c>
      <c r="H4" s="1" t="inlineStr">
        <is>
          <t>Condutores</t>
        </is>
      </c>
      <c r="I4" s="1" t="inlineStr">
        <is>
          <t>SEMANA 02</t>
        </is>
      </c>
      <c r="J4" s="1" t="inlineStr">
        <is>
          <t>KM ANTERIOR</t>
        </is>
      </c>
      <c r="K4" s="1" t="inlineStr">
        <is>
          <t>KM  ATUAL</t>
        </is>
      </c>
      <c r="L4" s="2" t="inlineStr">
        <is>
          <t xml:space="preserve">Validade </t>
        </is>
      </c>
    </row>
    <row r="5" ht="14.1" customHeight="1">
      <c r="A5" s="3" t="inlineStr">
        <is>
          <t>Caminhonete</t>
        </is>
      </c>
      <c r="B5" s="298" t="inlineStr">
        <is>
          <t>CHEVROLET S10</t>
        </is>
      </c>
      <c r="C5" s="3" t="inlineStr">
        <is>
          <t>TN 29</t>
        </is>
      </c>
      <c r="D5" s="3" t="inlineStr">
        <is>
          <t>Sonda</t>
        </is>
      </c>
      <c r="E5" s="3" t="inlineStr">
        <is>
          <t>CKS</t>
        </is>
      </c>
      <c r="F5" s="3" t="inlineStr">
        <is>
          <t>FXR0F35</t>
        </is>
      </c>
      <c r="G5" s="3" t="inlineStr">
        <is>
          <t>CARAJÁS</t>
        </is>
      </c>
      <c r="H5" s="10" t="inlineStr">
        <is>
          <t>JOÃO TAVARES</t>
        </is>
      </c>
      <c r="I5" s="7" t="n">
        <v>45646</v>
      </c>
      <c r="J5" s="13" t="n">
        <v>141017</v>
      </c>
      <c r="K5" s="13" t="n">
        <v>141617</v>
      </c>
      <c r="L5" s="4" t="n">
        <v>45799</v>
      </c>
    </row>
    <row r="6">
      <c r="A6" s="11" t="inlineStr">
        <is>
          <t>Caminhonete</t>
        </is>
      </c>
      <c r="B6" s="6" t="inlineStr">
        <is>
          <t xml:space="preserve">L200 - Triton </t>
        </is>
      </c>
      <c r="C6" s="11" t="inlineStr">
        <is>
          <t>TN 31</t>
        </is>
      </c>
      <c r="D6" s="11" t="inlineStr">
        <is>
          <t>SINAL</t>
        </is>
      </c>
      <c r="E6" s="11" t="inlineStr">
        <is>
          <t>CKS</t>
        </is>
      </c>
      <c r="F6" s="11" t="inlineStr">
        <is>
          <t>RXG6G10</t>
        </is>
      </c>
      <c r="G6" s="11" t="inlineStr">
        <is>
          <t>CARAJÁS</t>
        </is>
      </c>
      <c r="H6" s="12" t="inlineStr">
        <is>
          <t>CELIMARIO</t>
        </is>
      </c>
      <c r="I6" s="7" t="n">
        <v>45646</v>
      </c>
      <c r="J6" s="13" t="n">
        <v>46959</v>
      </c>
      <c r="K6" s="13" t="n">
        <v>47588</v>
      </c>
      <c r="L6" s="7" t="n">
        <v>45657</v>
      </c>
    </row>
    <row r="7">
      <c r="A7" s="6" t="inlineStr">
        <is>
          <t>Caminhonete</t>
        </is>
      </c>
      <c r="B7" s="6" t="inlineStr">
        <is>
          <t xml:space="preserve">FORD RANGER </t>
        </is>
      </c>
      <c r="C7" s="6" t="inlineStr">
        <is>
          <t>TN 72</t>
        </is>
      </c>
      <c r="D7" s="6" t="inlineStr">
        <is>
          <t>Sonda</t>
        </is>
      </c>
      <c r="E7" s="6" t="inlineStr">
        <is>
          <t>CKS</t>
        </is>
      </c>
      <c r="F7" s="6" t="inlineStr">
        <is>
          <t>FXD9A18</t>
        </is>
      </c>
      <c r="G7" s="6" t="inlineStr">
        <is>
          <t>CARAJÁS</t>
        </is>
      </c>
      <c r="H7" s="6" t="inlineStr">
        <is>
          <t>RAIMUNDO CHARLES</t>
        </is>
      </c>
      <c r="I7" s="7" t="n">
        <v>45646</v>
      </c>
      <c r="J7" s="13" t="n">
        <v>78474</v>
      </c>
      <c r="K7" s="13" t="n">
        <v>78891</v>
      </c>
      <c r="L7" s="7" t="n">
        <v>45835</v>
      </c>
    </row>
    <row r="8">
      <c r="A8" s="14" t="inlineStr">
        <is>
          <t>Caminhonete</t>
        </is>
      </c>
      <c r="B8" s="14" t="inlineStr">
        <is>
          <t>NISSAN FRONTIER</t>
        </is>
      </c>
      <c r="C8" s="14" t="inlineStr">
        <is>
          <t>TN 03</t>
        </is>
      </c>
      <c r="D8" s="14" t="inlineStr">
        <is>
          <t>SINAL</t>
        </is>
      </c>
      <c r="E8" s="14" t="inlineStr">
        <is>
          <t>CKS</t>
        </is>
      </c>
      <c r="F8" s="14" t="inlineStr">
        <is>
          <t>RXD1B51</t>
        </is>
      </c>
      <c r="G8" s="14" t="inlineStr">
        <is>
          <t>CARAJÁS</t>
        </is>
      </c>
      <c r="H8" s="14" t="inlineStr">
        <is>
          <t>VALE</t>
        </is>
      </c>
      <c r="I8" s="15" t="n">
        <v>45646</v>
      </c>
      <c r="J8" s="16" t="n">
        <v>20284</v>
      </c>
      <c r="K8" s="16" t="n">
        <v>21408</v>
      </c>
      <c r="L8" s="15" t="n">
        <v>45657</v>
      </c>
    </row>
    <row r="9">
      <c r="A9" s="6" t="inlineStr">
        <is>
          <t>Veículo Leve</t>
        </is>
      </c>
      <c r="B9" s="11" t="inlineStr">
        <is>
          <t>JEEP RENEGADE</t>
        </is>
      </c>
      <c r="C9" s="11" t="inlineStr">
        <is>
          <t>TN 02</t>
        </is>
      </c>
      <c r="D9" s="11" t="inlineStr">
        <is>
          <t>LOCALIZA</t>
        </is>
      </c>
      <c r="E9" s="11" t="inlineStr">
        <is>
          <t>CKS</t>
        </is>
      </c>
      <c r="F9" s="11" t="inlineStr">
        <is>
          <t>SHN4H64</t>
        </is>
      </c>
      <c r="G9" s="11" t="inlineStr">
        <is>
          <t>CARAJÁS</t>
        </is>
      </c>
      <c r="H9" s="6" t="inlineStr">
        <is>
          <t xml:space="preserve">MELQUISEDEC </t>
        </is>
      </c>
      <c r="I9" s="7" t="n">
        <v>45646</v>
      </c>
      <c r="J9" s="13" t="n">
        <v>35371</v>
      </c>
      <c r="K9" s="13" t="n">
        <v>35693</v>
      </c>
      <c r="L9" s="7" t="n">
        <v>45889</v>
      </c>
    </row>
    <row r="10">
      <c r="A10" s="6" t="inlineStr">
        <is>
          <t>Caminhonete</t>
        </is>
      </c>
      <c r="B10" s="11" t="inlineStr">
        <is>
          <t>NISSAN FRONTIER</t>
        </is>
      </c>
      <c r="C10" s="6" t="inlineStr">
        <is>
          <t>TN 74</t>
        </is>
      </c>
      <c r="D10" s="6" t="inlineStr">
        <is>
          <t>SINAL</t>
        </is>
      </c>
      <c r="E10" s="6" t="inlineStr">
        <is>
          <t>CKS</t>
        </is>
      </c>
      <c r="F10" s="6" t="inlineStr">
        <is>
          <t>RXD1B11</t>
        </is>
      </c>
      <c r="G10" s="6" t="inlineStr">
        <is>
          <t>CARAJÁS</t>
        </is>
      </c>
      <c r="H10" s="6" t="inlineStr">
        <is>
          <t>ERICK DA MATTA</t>
        </is>
      </c>
      <c r="I10" s="7" t="n">
        <v>45646</v>
      </c>
      <c r="J10" s="13" t="n">
        <v>31562</v>
      </c>
      <c r="K10" s="13" t="n">
        <v>33194</v>
      </c>
      <c r="L10" s="7" t="n">
        <v>45657</v>
      </c>
    </row>
    <row r="11">
      <c r="A11" s="6" t="inlineStr">
        <is>
          <t>Caminhonete</t>
        </is>
      </c>
      <c r="B11" s="11" t="inlineStr">
        <is>
          <t>NISSAN FRONTIER</t>
        </is>
      </c>
      <c r="C11" s="6" t="inlineStr">
        <is>
          <t>TN 75</t>
        </is>
      </c>
      <c r="D11" s="6" t="inlineStr">
        <is>
          <t>SINAL</t>
        </is>
      </c>
      <c r="E11" s="6" t="inlineStr">
        <is>
          <t>CKS</t>
        </is>
      </c>
      <c r="F11" s="6" t="inlineStr">
        <is>
          <t>RXB4A21</t>
        </is>
      </c>
      <c r="G11" s="6" t="inlineStr">
        <is>
          <t>CARAJÁS</t>
        </is>
      </c>
      <c r="H11" s="6" t="inlineStr">
        <is>
          <t>JANDERSON COSTA</t>
        </is>
      </c>
      <c r="I11" s="7" t="n">
        <v>45646</v>
      </c>
      <c r="J11" s="13" t="n">
        <v>72605</v>
      </c>
      <c r="K11" s="13" t="n">
        <v>73010</v>
      </c>
      <c r="L11" s="7" t="n">
        <v>45657</v>
      </c>
    </row>
    <row r="12">
      <c r="A12" s="6" t="inlineStr">
        <is>
          <t>Caminhonete</t>
        </is>
      </c>
      <c r="B12" s="11" t="inlineStr">
        <is>
          <t>NISSAN FRONTIER</t>
        </is>
      </c>
      <c r="C12" s="6" t="inlineStr">
        <is>
          <t>TN 76</t>
        </is>
      </c>
      <c r="D12" s="6" t="inlineStr">
        <is>
          <t>SINAL</t>
        </is>
      </c>
      <c r="E12" s="6" t="inlineStr">
        <is>
          <t>CKS</t>
        </is>
      </c>
      <c r="F12" s="6" t="inlineStr">
        <is>
          <t>RXD0C41</t>
        </is>
      </c>
      <c r="G12" s="6" t="inlineStr">
        <is>
          <t>CARAJÁS</t>
        </is>
      </c>
      <c r="H12" s="6" t="inlineStr">
        <is>
          <t>JANDERSON COSTA</t>
        </is>
      </c>
      <c r="I12" s="7" t="n">
        <v>45646</v>
      </c>
      <c r="J12" s="13" t="n">
        <v>51087</v>
      </c>
      <c r="K12" s="13" t="n">
        <v>51302</v>
      </c>
      <c r="L12" s="7" t="n">
        <v>45657</v>
      </c>
    </row>
    <row r="13">
      <c r="A13" s="6" t="inlineStr">
        <is>
          <t>Caminhonete</t>
        </is>
      </c>
      <c r="B13" s="11" t="inlineStr">
        <is>
          <t>NISSAN FRONTIER</t>
        </is>
      </c>
      <c r="C13" s="6" t="inlineStr">
        <is>
          <t>TN 04</t>
        </is>
      </c>
      <c r="D13" s="6" t="inlineStr">
        <is>
          <t>SINAL</t>
        </is>
      </c>
      <c r="E13" s="6" t="inlineStr">
        <is>
          <t>CKS</t>
        </is>
      </c>
      <c r="F13" s="6" t="inlineStr">
        <is>
          <t>RXG2A49</t>
        </is>
      </c>
      <c r="G13" s="6" t="inlineStr">
        <is>
          <t>CARAJÁS</t>
        </is>
      </c>
      <c r="H13" s="6" t="inlineStr">
        <is>
          <t>RENATO RAMALHO</t>
        </is>
      </c>
      <c r="I13" s="7" t="n">
        <v>45646</v>
      </c>
      <c r="J13" s="13" t="n">
        <v>80822</v>
      </c>
      <c r="K13" s="13" t="n">
        <v>81494</v>
      </c>
      <c r="L13" s="7" t="n">
        <v>45657</v>
      </c>
    </row>
    <row r="14">
      <c r="A14" s="298" t="inlineStr">
        <is>
          <t>Caminhonete</t>
        </is>
      </c>
      <c r="B14" s="6" t="inlineStr">
        <is>
          <t xml:space="preserve">L200 - Triton </t>
        </is>
      </c>
      <c r="C14" s="298" t="inlineStr">
        <is>
          <t>TN 73</t>
        </is>
      </c>
      <c r="D14" s="298" t="inlineStr">
        <is>
          <t>SINAL</t>
        </is>
      </c>
      <c r="E14" s="298" t="inlineStr">
        <is>
          <t>CKS</t>
        </is>
      </c>
      <c r="F14" s="298" t="inlineStr">
        <is>
          <t>RXC2D41</t>
        </is>
      </c>
      <c r="G14" s="298" t="inlineStr">
        <is>
          <t>CARAJÁS</t>
        </is>
      </c>
      <c r="H14" s="298" t="inlineStr">
        <is>
          <t>WALDECYR CICERO</t>
        </is>
      </c>
      <c r="I14" s="7" t="n">
        <v>45646</v>
      </c>
      <c r="J14" s="13" t="n">
        <v>34079</v>
      </c>
      <c r="K14" s="13" t="n">
        <v>34547</v>
      </c>
      <c r="L14" s="4" t="n">
        <v>45657</v>
      </c>
    </row>
    <row r="15">
      <c r="A15" s="322" t="inlineStr">
        <is>
          <t>Veículos - Novos Cadastros</t>
        </is>
      </c>
      <c r="B15" s="323" t="n"/>
      <c r="C15" s="323" t="n"/>
      <c r="D15" s="323" t="n"/>
      <c r="E15" s="323" t="n"/>
      <c r="F15" s="323" t="n"/>
      <c r="G15" s="323" t="n"/>
      <c r="H15" s="323" t="n"/>
      <c r="I15" s="323" t="n"/>
      <c r="J15" s="323" t="n"/>
      <c r="K15" s="323" t="n"/>
      <c r="L15" s="324" t="n"/>
    </row>
    <row r="16">
      <c r="A16" s="1" t="inlineStr">
        <is>
          <t>Tipo</t>
        </is>
      </c>
      <c r="B16" s="1" t="inlineStr">
        <is>
          <t xml:space="preserve">Modelos </t>
        </is>
      </c>
      <c r="C16" s="1" t="inlineStr">
        <is>
          <t>Tag</t>
        </is>
      </c>
      <c r="D16" s="1" t="inlineStr">
        <is>
          <t>Locadora</t>
        </is>
      </c>
      <c r="E16" s="1" t="inlineStr">
        <is>
          <t>Localidade</t>
        </is>
      </c>
      <c r="F16" s="1" t="inlineStr">
        <is>
          <t>Placa</t>
        </is>
      </c>
      <c r="G16" s="1" t="inlineStr">
        <is>
          <t>SSO</t>
        </is>
      </c>
      <c r="H16" s="1" t="inlineStr">
        <is>
          <t>Condutores</t>
        </is>
      </c>
      <c r="I16" s="1" t="inlineStr">
        <is>
          <t>SEMANA 01</t>
        </is>
      </c>
      <c r="J16" s="1" t="n"/>
      <c r="K16" s="1" t="inlineStr">
        <is>
          <t xml:space="preserve">KM  </t>
        </is>
      </c>
      <c r="L16" s="2" t="inlineStr">
        <is>
          <t xml:space="preserve">Validade </t>
        </is>
      </c>
    </row>
  </sheetData>
  <mergeCells count="2">
    <mergeCell ref="A3:L3"/>
    <mergeCell ref="A15:L15"/>
  </mergeCells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topLeftCell="A2" zoomScale="90" zoomScaleNormal="90" workbookViewId="0">
      <selection activeCell="F10" sqref="F10"/>
    </sheetView>
  </sheetViews>
  <sheetFormatPr baseColWidth="8" defaultRowHeight="14.3"/>
  <cols>
    <col width="14.5" customWidth="1" min="1" max="1"/>
    <col width="18.5" bestFit="1" customWidth="1" min="2" max="2"/>
    <col width="8.5" customWidth="1" min="3" max="3"/>
    <col width="12.5" customWidth="1" min="4" max="4"/>
    <col width="11.5" customWidth="1" min="5" max="5"/>
    <col width="12.5" customWidth="1" min="6" max="7"/>
    <col width="18.5" bestFit="1" customWidth="1" min="8" max="8"/>
    <col width="20.5" customWidth="1" min="9" max="10"/>
    <col width="17.5" customWidth="1" min="11" max="11"/>
    <col width="12.875" customWidth="1" min="12" max="12"/>
    <col width="12.125" customWidth="1" min="14" max="14"/>
  </cols>
  <sheetData>
    <row r="1"/>
    <row r="2" ht="41.45" customHeight="1">
      <c r="A2" s="8" t="inlineStr">
        <is>
          <t xml:space="preserve">CONTROLE DE KM - COORDENAÇÃO CIARA ZANELATO 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</row>
    <row r="3" ht="27.7" customHeight="1">
      <c r="A3" s="290" t="inlineStr">
        <is>
          <t xml:space="preserve">Veículos Cadastrados </t>
        </is>
      </c>
      <c r="B3" s="321" t="n"/>
      <c r="C3" s="321" t="n"/>
      <c r="D3" s="321" t="n"/>
      <c r="E3" s="321" t="n"/>
      <c r="F3" s="321" t="n"/>
      <c r="G3" s="321" t="n"/>
      <c r="H3" s="321" t="n"/>
      <c r="I3" s="321" t="n"/>
      <c r="J3" s="321" t="n"/>
      <c r="K3" s="321" t="n"/>
      <c r="L3" s="321" t="n"/>
    </row>
    <row r="4" ht="18" customHeight="1">
      <c r="A4" s="1" t="inlineStr">
        <is>
          <t>Tipo</t>
        </is>
      </c>
      <c r="B4" s="1" t="inlineStr">
        <is>
          <t xml:space="preserve">Modelos </t>
        </is>
      </c>
      <c r="C4" s="1" t="inlineStr">
        <is>
          <t>Tag</t>
        </is>
      </c>
      <c r="D4" s="1" t="inlineStr">
        <is>
          <t>Locadora</t>
        </is>
      </c>
      <c r="E4" s="1" t="inlineStr">
        <is>
          <t>Localidade</t>
        </is>
      </c>
      <c r="F4" s="1" t="inlineStr">
        <is>
          <t>Placa</t>
        </is>
      </c>
      <c r="G4" s="1" t="inlineStr">
        <is>
          <t>SSO</t>
        </is>
      </c>
      <c r="H4" s="1" t="inlineStr">
        <is>
          <t>Condutores</t>
        </is>
      </c>
      <c r="I4" s="1" t="inlineStr">
        <is>
          <t>SEMANA 02</t>
        </is>
      </c>
      <c r="J4" s="1" t="inlineStr">
        <is>
          <t>KM ANTERIOR</t>
        </is>
      </c>
      <c r="K4" s="1" t="inlineStr">
        <is>
          <t>KM  ATUAL</t>
        </is>
      </c>
      <c r="L4" s="2" t="inlineStr">
        <is>
          <t xml:space="preserve">Validade </t>
        </is>
      </c>
    </row>
    <row r="5" ht="14.1" customHeight="1">
      <c r="A5" s="3" t="inlineStr">
        <is>
          <t>Caminhonete</t>
        </is>
      </c>
      <c r="B5" s="298" t="inlineStr">
        <is>
          <t>CHEVROLET S10</t>
        </is>
      </c>
      <c r="C5" s="3" t="inlineStr">
        <is>
          <t>TN 29</t>
        </is>
      </c>
      <c r="D5" s="3" t="inlineStr">
        <is>
          <t>Sonda</t>
        </is>
      </c>
      <c r="E5" s="3" t="inlineStr">
        <is>
          <t>CKS</t>
        </is>
      </c>
      <c r="F5" s="3" t="inlineStr">
        <is>
          <t>FXR0F35</t>
        </is>
      </c>
      <c r="G5" s="3" t="inlineStr">
        <is>
          <t>CARAJÁS</t>
        </is>
      </c>
      <c r="H5" s="10" t="inlineStr">
        <is>
          <t>JOÃO TAVARES</t>
        </is>
      </c>
      <c r="I5" s="7" t="n">
        <v>45653</v>
      </c>
      <c r="J5" s="13" t="n">
        <v>141617</v>
      </c>
      <c r="K5" s="13" t="n">
        <v>141950</v>
      </c>
      <c r="L5" s="4" t="n">
        <v>45799</v>
      </c>
    </row>
    <row r="6">
      <c r="A6" s="11" t="inlineStr">
        <is>
          <t>Caminhonete</t>
        </is>
      </c>
      <c r="B6" s="6" t="inlineStr">
        <is>
          <t xml:space="preserve">L200 - Triton </t>
        </is>
      </c>
      <c r="C6" s="11" t="inlineStr">
        <is>
          <t>TN 31</t>
        </is>
      </c>
      <c r="D6" s="11" t="inlineStr">
        <is>
          <t>SINAL</t>
        </is>
      </c>
      <c r="E6" s="11" t="inlineStr">
        <is>
          <t>CKS</t>
        </is>
      </c>
      <c r="F6" s="14" t="inlineStr">
        <is>
          <t>RXG6G10</t>
        </is>
      </c>
      <c r="G6" s="11" t="inlineStr">
        <is>
          <t>CARAJÁS</t>
        </is>
      </c>
      <c r="H6" s="12" t="inlineStr">
        <is>
          <t>CELIMARIO</t>
        </is>
      </c>
      <c r="I6" s="7" t="n">
        <v>45653</v>
      </c>
      <c r="J6" s="13" t="n">
        <v>47588</v>
      </c>
      <c r="K6" s="13" t="n">
        <v>47662</v>
      </c>
      <c r="L6" s="7" t="n">
        <v>45657</v>
      </c>
    </row>
    <row r="7">
      <c r="A7" s="6" t="inlineStr">
        <is>
          <t>Caminhonete</t>
        </is>
      </c>
      <c r="B7" s="6" t="inlineStr">
        <is>
          <t xml:space="preserve">FORD RANGER </t>
        </is>
      </c>
      <c r="C7" s="6" t="inlineStr">
        <is>
          <t>TN 72</t>
        </is>
      </c>
      <c r="D7" s="6" t="inlineStr">
        <is>
          <t>Sonda</t>
        </is>
      </c>
      <c r="E7" s="6" t="inlineStr">
        <is>
          <t>CKS</t>
        </is>
      </c>
      <c r="F7" s="6" t="inlineStr">
        <is>
          <t>FXD9A18</t>
        </is>
      </c>
      <c r="G7" s="6" t="inlineStr">
        <is>
          <t>CARAJÁS</t>
        </is>
      </c>
      <c r="H7" s="6" t="inlineStr">
        <is>
          <t>RAIMUNDO CHARLES</t>
        </is>
      </c>
      <c r="I7" s="7" t="n">
        <v>45653</v>
      </c>
      <c r="J7" s="13" t="n">
        <v>78891</v>
      </c>
      <c r="K7" s="13" t="n">
        <v>79296</v>
      </c>
      <c r="L7" s="7" t="n">
        <v>45835</v>
      </c>
    </row>
    <row r="8" customFormat="1" s="19">
      <c r="A8" s="3" t="inlineStr">
        <is>
          <t>Caminhonete</t>
        </is>
      </c>
      <c r="B8" s="3" t="inlineStr">
        <is>
          <t>NISSAN FRONTIER</t>
        </is>
      </c>
      <c r="C8" s="3" t="inlineStr">
        <is>
          <t>TN 03</t>
        </is>
      </c>
      <c r="D8" s="3" t="inlineStr">
        <is>
          <t>SINAL</t>
        </is>
      </c>
      <c r="E8" s="3" t="inlineStr">
        <is>
          <t>CKS</t>
        </is>
      </c>
      <c r="F8" s="3" t="inlineStr">
        <is>
          <t>RXD1B51</t>
        </is>
      </c>
      <c r="G8" s="3" t="inlineStr">
        <is>
          <t>CARAJÁS</t>
        </is>
      </c>
      <c r="H8" s="3" t="inlineStr">
        <is>
          <t>VALE</t>
        </is>
      </c>
      <c r="I8" s="17" t="n">
        <v>45653</v>
      </c>
      <c r="J8" s="18" t="n">
        <v>21408</v>
      </c>
      <c r="K8" s="18" t="n">
        <v>22230</v>
      </c>
      <c r="L8" s="17" t="n">
        <v>45657</v>
      </c>
    </row>
    <row r="9">
      <c r="A9" s="6" t="inlineStr">
        <is>
          <t>Veículo Leve</t>
        </is>
      </c>
      <c r="B9" s="11" t="inlineStr">
        <is>
          <t>JEEP RENEGADE</t>
        </is>
      </c>
      <c r="C9" s="11" t="inlineStr">
        <is>
          <t>TN 02</t>
        </is>
      </c>
      <c r="D9" s="11" t="inlineStr">
        <is>
          <t>LOCALIZA</t>
        </is>
      </c>
      <c r="E9" s="11" t="inlineStr">
        <is>
          <t>CKS</t>
        </is>
      </c>
      <c r="F9" s="11" t="inlineStr">
        <is>
          <t>SHN4H64</t>
        </is>
      </c>
      <c r="G9" s="11" t="inlineStr">
        <is>
          <t>CARAJÁS</t>
        </is>
      </c>
      <c r="H9" s="6" t="inlineStr">
        <is>
          <t xml:space="preserve">MELQUISEDEC </t>
        </is>
      </c>
      <c r="I9" s="7" t="n">
        <v>45653</v>
      </c>
      <c r="J9" s="13" t="n">
        <v>35693</v>
      </c>
      <c r="K9" s="13" t="n">
        <v>35699</v>
      </c>
      <c r="L9" s="7" t="n">
        <v>45889</v>
      </c>
    </row>
    <row r="10">
      <c r="A10" s="6" t="inlineStr">
        <is>
          <t>Caminhonete</t>
        </is>
      </c>
      <c r="B10" s="11" t="inlineStr">
        <is>
          <t>NISSAN FRONTIER</t>
        </is>
      </c>
      <c r="C10" s="6" t="inlineStr">
        <is>
          <t>TN 74</t>
        </is>
      </c>
      <c r="D10" s="6" t="inlineStr">
        <is>
          <t>SINAL</t>
        </is>
      </c>
      <c r="E10" s="6" t="inlineStr">
        <is>
          <t>CKS</t>
        </is>
      </c>
      <c r="F10" s="6" t="inlineStr">
        <is>
          <t>RXD1B11</t>
        </is>
      </c>
      <c r="G10" s="6" t="inlineStr">
        <is>
          <t>CARAJÁS</t>
        </is>
      </c>
      <c r="H10" s="6" t="inlineStr">
        <is>
          <t>ERICK DA MATTA</t>
        </is>
      </c>
      <c r="I10" s="7" t="n">
        <v>45653</v>
      </c>
      <c r="J10" s="13" t="n">
        <v>33194</v>
      </c>
      <c r="K10" s="13" t="n">
        <v>33985</v>
      </c>
      <c r="L10" s="7" t="n">
        <v>45657</v>
      </c>
    </row>
    <row r="11">
      <c r="A11" s="6" t="inlineStr">
        <is>
          <t>Caminhonete</t>
        </is>
      </c>
      <c r="B11" s="11" t="inlineStr">
        <is>
          <t>NISSAN FRONTIER</t>
        </is>
      </c>
      <c r="C11" s="6" t="inlineStr">
        <is>
          <t>TN 75</t>
        </is>
      </c>
      <c r="D11" s="6" t="inlineStr">
        <is>
          <t>SINAL</t>
        </is>
      </c>
      <c r="E11" s="6" t="inlineStr">
        <is>
          <t>CKS</t>
        </is>
      </c>
      <c r="F11" s="25" t="inlineStr">
        <is>
          <t>RXB4A21</t>
        </is>
      </c>
      <c r="G11" s="6" t="inlineStr">
        <is>
          <t>CARAJÁS</t>
        </is>
      </c>
      <c r="H11" s="6" t="inlineStr">
        <is>
          <t>JANDERSON COSTA</t>
        </is>
      </c>
      <c r="I11" s="7" t="n">
        <v>45653</v>
      </c>
      <c r="J11" s="13" t="n">
        <v>73010</v>
      </c>
      <c r="K11" s="13" t="n">
        <v>73017</v>
      </c>
      <c r="L11" s="7" t="n">
        <v>45657</v>
      </c>
    </row>
    <row r="12">
      <c r="A12" s="6" t="inlineStr">
        <is>
          <t>Caminhonete</t>
        </is>
      </c>
      <c r="B12" s="11" t="inlineStr">
        <is>
          <t>NISSAN FRONTIER</t>
        </is>
      </c>
      <c r="C12" s="6" t="inlineStr">
        <is>
          <t>TN 76</t>
        </is>
      </c>
      <c r="D12" s="6" t="inlineStr">
        <is>
          <t>SINAL</t>
        </is>
      </c>
      <c r="E12" s="6" t="inlineStr">
        <is>
          <t>CKS</t>
        </is>
      </c>
      <c r="F12" s="6" t="inlineStr">
        <is>
          <t>RXD0C41</t>
        </is>
      </c>
      <c r="G12" s="6" t="inlineStr">
        <is>
          <t>CARAJÁS</t>
        </is>
      </c>
      <c r="H12" s="6" t="inlineStr">
        <is>
          <t>JANDERSON COSTA</t>
        </is>
      </c>
      <c r="I12" s="7" t="n">
        <v>45653</v>
      </c>
      <c r="J12" s="13" t="n">
        <v>51302</v>
      </c>
      <c r="K12" s="13" t="n">
        <v>51314</v>
      </c>
      <c r="L12" s="7" t="n">
        <v>45657</v>
      </c>
    </row>
    <row r="13" customFormat="1" s="24">
      <c r="A13" s="20" t="inlineStr">
        <is>
          <t>Caminhonete</t>
        </is>
      </c>
      <c r="B13" s="21" t="inlineStr">
        <is>
          <t>NISSAN FRONTIER</t>
        </is>
      </c>
      <c r="C13" s="20" t="inlineStr">
        <is>
          <t>TN 04</t>
        </is>
      </c>
      <c r="D13" s="20" t="inlineStr">
        <is>
          <t>SINAL</t>
        </is>
      </c>
      <c r="E13" s="20" t="inlineStr">
        <is>
          <t>CKS</t>
        </is>
      </c>
      <c r="F13" s="20" t="inlineStr">
        <is>
          <t>RXG2A49</t>
        </is>
      </c>
      <c r="G13" s="20" t="inlineStr">
        <is>
          <t>CARAJÁS</t>
        </is>
      </c>
      <c r="H13" s="20" t="inlineStr">
        <is>
          <t>RENATO RAMALHO</t>
        </is>
      </c>
      <c r="I13" s="22" t="n">
        <v>45653</v>
      </c>
      <c r="J13" s="23" t="n">
        <v>81494</v>
      </c>
      <c r="K13" s="23" t="n"/>
      <c r="L13" s="22" t="n">
        <v>45657</v>
      </c>
      <c r="M13" s="24" t="inlineStr">
        <is>
          <t>Manutenção</t>
        </is>
      </c>
    </row>
    <row r="14">
      <c r="A14" s="298" t="inlineStr">
        <is>
          <t>Caminhonete</t>
        </is>
      </c>
      <c r="B14" s="6" t="inlineStr">
        <is>
          <t xml:space="preserve">L200 - Triton </t>
        </is>
      </c>
      <c r="C14" s="298" t="inlineStr">
        <is>
          <t>TN 73</t>
        </is>
      </c>
      <c r="D14" s="298" t="inlineStr">
        <is>
          <t>SINAL</t>
        </is>
      </c>
      <c r="E14" s="298" t="inlineStr">
        <is>
          <t>CKS</t>
        </is>
      </c>
      <c r="F14" s="298" t="inlineStr">
        <is>
          <t>RXC2D41</t>
        </is>
      </c>
      <c r="G14" s="298" t="inlineStr">
        <is>
          <t>CARAJÁS</t>
        </is>
      </c>
      <c r="H14" s="298" t="inlineStr">
        <is>
          <t>WALDECYR CICERO</t>
        </is>
      </c>
      <c r="I14" s="7" t="n">
        <v>45653</v>
      </c>
      <c r="J14" s="13" t="n">
        <v>34547</v>
      </c>
      <c r="K14" s="13" t="n">
        <v>34651</v>
      </c>
      <c r="L14" s="4" t="n">
        <v>45657</v>
      </c>
    </row>
    <row r="15">
      <c r="A15" s="322" t="inlineStr">
        <is>
          <t>Veículos - Novos Cadastros</t>
        </is>
      </c>
      <c r="B15" s="323" t="n"/>
      <c r="C15" s="323" t="n"/>
      <c r="D15" s="323" t="n"/>
      <c r="E15" s="323" t="n"/>
      <c r="F15" s="323" t="n"/>
      <c r="G15" s="323" t="n"/>
      <c r="H15" s="323" t="n"/>
      <c r="I15" s="323" t="n"/>
      <c r="J15" s="323" t="n"/>
      <c r="K15" s="323" t="n"/>
      <c r="L15" s="324" t="n"/>
    </row>
    <row r="16">
      <c r="A16" s="1" t="inlineStr">
        <is>
          <t>Tipo</t>
        </is>
      </c>
      <c r="B16" s="1" t="inlineStr">
        <is>
          <t xml:space="preserve">Modelos </t>
        </is>
      </c>
      <c r="C16" s="1" t="inlineStr">
        <is>
          <t>Tag</t>
        </is>
      </c>
      <c r="D16" s="1" t="inlineStr">
        <is>
          <t>Locadora</t>
        </is>
      </c>
      <c r="E16" s="1" t="inlineStr">
        <is>
          <t>Localidade</t>
        </is>
      </c>
      <c r="F16" s="1" t="inlineStr">
        <is>
          <t>Placa</t>
        </is>
      </c>
      <c r="G16" s="1" t="inlineStr">
        <is>
          <t>SSO</t>
        </is>
      </c>
      <c r="H16" s="1" t="inlineStr">
        <is>
          <t>Condutores</t>
        </is>
      </c>
      <c r="I16" s="1" t="inlineStr">
        <is>
          <t>SEMANA 01</t>
        </is>
      </c>
      <c r="J16" s="1" t="n"/>
      <c r="K16" s="1" t="inlineStr">
        <is>
          <t xml:space="preserve">KM  </t>
        </is>
      </c>
      <c r="L16" s="2" t="inlineStr">
        <is>
          <t xml:space="preserve">Validade </t>
        </is>
      </c>
    </row>
  </sheetData>
  <mergeCells count="2">
    <mergeCell ref="A3:L3"/>
    <mergeCell ref="A15:L15"/>
  </mergeCells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topLeftCell="A2" zoomScale="90" zoomScaleNormal="90" workbookViewId="0">
      <selection activeCell="L7" sqref="L7"/>
    </sheetView>
  </sheetViews>
  <sheetFormatPr baseColWidth="8" defaultRowHeight="14.3"/>
  <cols>
    <col width="14.5" customWidth="1" min="1" max="1"/>
    <col width="18.5" bestFit="1" customWidth="1" min="2" max="2"/>
    <col width="8.5" customWidth="1" min="3" max="3"/>
    <col width="12.5" customWidth="1" min="4" max="4"/>
    <col width="11.5" customWidth="1" min="5" max="5"/>
    <col width="12.5" customWidth="1" min="6" max="7"/>
    <col width="18.5" bestFit="1" customWidth="1" min="8" max="8"/>
    <col width="20.5" customWidth="1" min="9" max="10"/>
    <col width="17.5" customWidth="1" min="11" max="11"/>
    <col width="12.875" customWidth="1" min="12" max="12"/>
    <col width="12.125" customWidth="1" min="14" max="14"/>
  </cols>
  <sheetData>
    <row r="1"/>
    <row r="2" ht="41.45" customHeight="1">
      <c r="A2" s="8" t="inlineStr">
        <is>
          <t xml:space="preserve">CONTROLE DE KM - COORDENAÇÃO CIARA ZANELATO 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</row>
    <row r="3" ht="27.7" customHeight="1">
      <c r="A3" s="290" t="inlineStr">
        <is>
          <t xml:space="preserve">Veículos Cadastrados </t>
        </is>
      </c>
      <c r="B3" s="321" t="n"/>
      <c r="C3" s="321" t="n"/>
      <c r="D3" s="321" t="n"/>
      <c r="E3" s="321" t="n"/>
      <c r="F3" s="321" t="n"/>
      <c r="G3" s="321" t="n"/>
      <c r="H3" s="321" t="n"/>
      <c r="I3" s="321" t="n"/>
      <c r="J3" s="321" t="n"/>
      <c r="K3" s="321" t="n"/>
      <c r="L3" s="321" t="n"/>
    </row>
    <row r="4" ht="18" customHeight="1">
      <c r="A4" s="1" t="inlineStr">
        <is>
          <t>Tipo</t>
        </is>
      </c>
      <c r="B4" s="1" t="inlineStr">
        <is>
          <t xml:space="preserve">Modelos </t>
        </is>
      </c>
      <c r="C4" s="1" t="inlineStr">
        <is>
          <t>Tag</t>
        </is>
      </c>
      <c r="D4" s="1" t="inlineStr">
        <is>
          <t>Locadora</t>
        </is>
      </c>
      <c r="E4" s="1" t="inlineStr">
        <is>
          <t>Localidade</t>
        </is>
      </c>
      <c r="F4" s="1" t="inlineStr">
        <is>
          <t>Placa</t>
        </is>
      </c>
      <c r="G4" s="1" t="inlineStr">
        <is>
          <t>SSO</t>
        </is>
      </c>
      <c r="H4" s="1" t="inlineStr">
        <is>
          <t>Condutores</t>
        </is>
      </c>
      <c r="I4" s="1" t="inlineStr">
        <is>
          <t>SEMANA 02</t>
        </is>
      </c>
      <c r="J4" s="1" t="inlineStr">
        <is>
          <t>KM ANTERIOR</t>
        </is>
      </c>
      <c r="K4" s="1" t="inlineStr">
        <is>
          <t>KM  ATUAL</t>
        </is>
      </c>
      <c r="L4" s="2" t="inlineStr">
        <is>
          <t xml:space="preserve">Validade </t>
        </is>
      </c>
    </row>
    <row r="5" ht="14.1" customHeight="1">
      <c r="A5" s="3" t="inlineStr">
        <is>
          <t>Caminhonete</t>
        </is>
      </c>
      <c r="B5" s="298" t="inlineStr">
        <is>
          <t>CHEVROLET S10</t>
        </is>
      </c>
      <c r="C5" s="3" t="inlineStr">
        <is>
          <t>TN 29</t>
        </is>
      </c>
      <c r="D5" s="3" t="inlineStr">
        <is>
          <t>Sonda</t>
        </is>
      </c>
      <c r="E5" s="3" t="inlineStr">
        <is>
          <t>CKS</t>
        </is>
      </c>
      <c r="F5" s="3" t="inlineStr">
        <is>
          <t>FXR0F35</t>
        </is>
      </c>
      <c r="G5" s="3" t="inlineStr">
        <is>
          <t>CARAJÁS</t>
        </is>
      </c>
      <c r="H5" s="10" t="inlineStr">
        <is>
          <t>JOÃO TAVARES</t>
        </is>
      </c>
      <c r="I5" s="7" t="n">
        <v>45660</v>
      </c>
      <c r="J5" s="13" t="n">
        <v>141950</v>
      </c>
      <c r="K5" s="13" t="n">
        <v>142189</v>
      </c>
      <c r="L5" s="4" t="n">
        <v>45799</v>
      </c>
    </row>
    <row r="6">
      <c r="A6" s="11" t="inlineStr">
        <is>
          <t>Caminhonete</t>
        </is>
      </c>
      <c r="B6" s="6" t="inlineStr">
        <is>
          <t xml:space="preserve">L200 - Triton </t>
        </is>
      </c>
      <c r="C6" s="11" t="inlineStr">
        <is>
          <t>TN 31</t>
        </is>
      </c>
      <c r="D6" s="11" t="inlineStr">
        <is>
          <t>SINAL</t>
        </is>
      </c>
      <c r="E6" s="11" t="inlineStr">
        <is>
          <t>CKS</t>
        </is>
      </c>
      <c r="F6" s="3" t="inlineStr">
        <is>
          <t>RXG6G10</t>
        </is>
      </c>
      <c r="G6" s="11" t="inlineStr">
        <is>
          <t>CARAJÁS</t>
        </is>
      </c>
      <c r="H6" s="12" t="inlineStr">
        <is>
          <t>CELIMARIO</t>
        </is>
      </c>
      <c r="I6" s="7" t="n">
        <v>45660</v>
      </c>
      <c r="J6" s="13" t="n">
        <v>47662</v>
      </c>
      <c r="K6" s="13" t="n">
        <v>47982</v>
      </c>
      <c r="L6" s="7" t="n">
        <v>45657</v>
      </c>
      <c r="N6" t="n">
        <v>2</v>
      </c>
    </row>
    <row r="7">
      <c r="A7" s="6" t="inlineStr">
        <is>
          <t>Caminhonete</t>
        </is>
      </c>
      <c r="B7" s="6" t="inlineStr">
        <is>
          <t xml:space="preserve">FORD RANGER </t>
        </is>
      </c>
      <c r="C7" s="6" t="inlineStr">
        <is>
          <t>TN 72</t>
        </is>
      </c>
      <c r="D7" s="6" t="inlineStr">
        <is>
          <t>Sonda</t>
        </is>
      </c>
      <c r="E7" s="6" t="inlineStr">
        <is>
          <t>CKS</t>
        </is>
      </c>
      <c r="F7" s="6" t="inlineStr">
        <is>
          <t>FXD9A18</t>
        </is>
      </c>
      <c r="G7" s="6" t="inlineStr">
        <is>
          <t>CARAJÁS</t>
        </is>
      </c>
      <c r="H7" s="6" t="inlineStr">
        <is>
          <t>RAIMUNDO CHARLES</t>
        </is>
      </c>
      <c r="I7" s="7" t="n">
        <v>45660</v>
      </c>
      <c r="J7" s="13" t="n">
        <v>79296</v>
      </c>
      <c r="K7" s="13" t="n">
        <v>79482</v>
      </c>
      <c r="L7" s="7" t="n">
        <v>45835</v>
      </c>
    </row>
    <row r="8" customFormat="1" s="19">
      <c r="A8" s="3" t="inlineStr">
        <is>
          <t>Caminhonete</t>
        </is>
      </c>
      <c r="B8" s="3" t="inlineStr">
        <is>
          <t>NISSAN FRONTIER</t>
        </is>
      </c>
      <c r="C8" s="3" t="inlineStr">
        <is>
          <t>TN 03</t>
        </is>
      </c>
      <c r="D8" s="3" t="inlineStr">
        <is>
          <t>SINAL</t>
        </is>
      </c>
      <c r="E8" s="3" t="inlineStr">
        <is>
          <t>CKS</t>
        </is>
      </c>
      <c r="F8" s="3" t="inlineStr">
        <is>
          <t>RXD1B51</t>
        </is>
      </c>
      <c r="G8" s="3" t="inlineStr">
        <is>
          <t>CARAJÁS</t>
        </is>
      </c>
      <c r="H8" s="3" t="inlineStr">
        <is>
          <t>VALE</t>
        </is>
      </c>
      <c r="I8" s="7" t="n">
        <v>45660</v>
      </c>
      <c r="J8" s="18" t="n">
        <v>22230</v>
      </c>
      <c r="K8" s="18" t="n">
        <v>22374</v>
      </c>
      <c r="L8" s="17" t="n">
        <v>45657</v>
      </c>
    </row>
    <row r="9">
      <c r="A9" s="6" t="inlineStr">
        <is>
          <t>Veículo Leve</t>
        </is>
      </c>
      <c r="B9" s="11" t="inlineStr">
        <is>
          <t>JEEP RENEGADE</t>
        </is>
      </c>
      <c r="C9" s="11" t="inlineStr">
        <is>
          <t>TN 02</t>
        </is>
      </c>
      <c r="D9" s="11" t="inlineStr">
        <is>
          <t>LOCALIZA</t>
        </is>
      </c>
      <c r="E9" s="11" t="inlineStr">
        <is>
          <t>CKS</t>
        </is>
      </c>
      <c r="F9" s="11" t="inlineStr">
        <is>
          <t>SHN4H64</t>
        </is>
      </c>
      <c r="G9" s="11" t="inlineStr">
        <is>
          <t>CARAJÁS</t>
        </is>
      </c>
      <c r="H9" s="6" t="inlineStr">
        <is>
          <t xml:space="preserve">MELQUISEDEC </t>
        </is>
      </c>
      <c r="I9" s="7" t="n">
        <v>45660</v>
      </c>
      <c r="J9" s="13" t="n">
        <v>35699</v>
      </c>
      <c r="K9" s="13" t="n">
        <v>35704</v>
      </c>
      <c r="L9" s="7" t="n">
        <v>45889</v>
      </c>
    </row>
    <row r="10" customFormat="1" s="24">
      <c r="A10" s="20" t="inlineStr">
        <is>
          <t>Caminhonete</t>
        </is>
      </c>
      <c r="B10" s="21" t="inlineStr">
        <is>
          <t>NISSAN FRONTIER</t>
        </is>
      </c>
      <c r="C10" s="20" t="inlineStr">
        <is>
          <t>TN 74</t>
        </is>
      </c>
      <c r="D10" s="20" t="inlineStr">
        <is>
          <t>SINAL</t>
        </is>
      </c>
      <c r="E10" s="20" t="inlineStr">
        <is>
          <t>CKS</t>
        </is>
      </c>
      <c r="F10" s="20" t="inlineStr">
        <is>
          <t>RXD1B11</t>
        </is>
      </c>
      <c r="G10" s="20" t="inlineStr">
        <is>
          <t>CARAJÁS</t>
        </is>
      </c>
      <c r="H10" s="20" t="inlineStr">
        <is>
          <t>ERICK DA MATTA</t>
        </is>
      </c>
      <c r="I10" s="22" t="n">
        <v>45660</v>
      </c>
      <c r="J10" s="23" t="n">
        <v>33985</v>
      </c>
      <c r="K10" s="23" t="n"/>
      <c r="L10" s="22" t="n">
        <v>45657</v>
      </c>
      <c r="M10" s="24" t="inlineStr">
        <is>
          <t xml:space="preserve">Esta no lavador </t>
        </is>
      </c>
    </row>
    <row r="11">
      <c r="A11" s="6" t="inlineStr">
        <is>
          <t>Caminhonete</t>
        </is>
      </c>
      <c r="B11" s="11" t="inlineStr">
        <is>
          <t>NISSAN FRONTIER</t>
        </is>
      </c>
      <c r="C11" s="6" t="inlineStr">
        <is>
          <t>TN 75</t>
        </is>
      </c>
      <c r="D11" s="6" t="inlineStr">
        <is>
          <t>SINAL</t>
        </is>
      </c>
      <c r="E11" s="6" t="inlineStr">
        <is>
          <t>CKS</t>
        </is>
      </c>
      <c r="F11" s="298" t="inlineStr">
        <is>
          <t>RXB4A21</t>
        </is>
      </c>
      <c r="G11" s="6" t="inlineStr">
        <is>
          <t>CARAJÁS</t>
        </is>
      </c>
      <c r="H11" s="6" t="inlineStr">
        <is>
          <t>JANDERSON COSTA</t>
        </is>
      </c>
      <c r="I11" s="7" t="n">
        <v>45660</v>
      </c>
      <c r="J11" s="13" t="n">
        <v>73017</v>
      </c>
      <c r="K11" s="13" t="n">
        <v>73053</v>
      </c>
      <c r="L11" s="7" t="n">
        <v>45657</v>
      </c>
    </row>
    <row r="12">
      <c r="A12" s="6" t="inlineStr">
        <is>
          <t>Caminhonete</t>
        </is>
      </c>
      <c r="B12" s="11" t="inlineStr">
        <is>
          <t>NISSAN FRONTIER</t>
        </is>
      </c>
      <c r="C12" s="6" t="inlineStr">
        <is>
          <t>TN 76</t>
        </is>
      </c>
      <c r="D12" s="6" t="inlineStr">
        <is>
          <t>SINAL</t>
        </is>
      </c>
      <c r="E12" s="6" t="inlineStr">
        <is>
          <t>CKS</t>
        </is>
      </c>
      <c r="F12" s="6" t="inlineStr">
        <is>
          <t>RXD0C41</t>
        </is>
      </c>
      <c r="G12" s="6" t="inlineStr">
        <is>
          <t>CARAJÁS</t>
        </is>
      </c>
      <c r="H12" s="6" t="inlineStr">
        <is>
          <t>JANDERSON COSTA</t>
        </is>
      </c>
      <c r="I12" s="7" t="n">
        <v>45660</v>
      </c>
      <c r="J12" s="13" t="n">
        <v>51314</v>
      </c>
      <c r="K12" s="13" t="n">
        <v>51331</v>
      </c>
      <c r="L12" s="7" t="n">
        <v>45657</v>
      </c>
    </row>
    <row r="13" customFormat="1" s="19">
      <c r="A13" s="298" t="inlineStr">
        <is>
          <t>Caminhonete</t>
        </is>
      </c>
      <c r="B13" s="3" t="inlineStr">
        <is>
          <t>NISSAN FRONTIER</t>
        </is>
      </c>
      <c r="C13" s="298" t="inlineStr">
        <is>
          <t>TN 04</t>
        </is>
      </c>
      <c r="D13" s="298" t="inlineStr">
        <is>
          <t>SINAL</t>
        </is>
      </c>
      <c r="E13" s="298" t="inlineStr">
        <is>
          <t>CKS</t>
        </is>
      </c>
      <c r="F13" s="298" t="inlineStr">
        <is>
          <t>RXG2A49</t>
        </is>
      </c>
      <c r="G13" s="298" t="inlineStr">
        <is>
          <t>CARAJÁS</t>
        </is>
      </c>
      <c r="H13" s="298" t="inlineStr">
        <is>
          <t>RENATO RAMALHO</t>
        </is>
      </c>
      <c r="I13" s="17" t="n">
        <v>45660</v>
      </c>
      <c r="J13" s="18" t="n">
        <v>81494</v>
      </c>
      <c r="K13" s="18" t="n">
        <v>82015</v>
      </c>
      <c r="L13" s="17" t="n">
        <v>45657</v>
      </c>
    </row>
    <row r="14">
      <c r="A14" s="298" t="inlineStr">
        <is>
          <t>Caminhonete</t>
        </is>
      </c>
      <c r="B14" s="6" t="inlineStr">
        <is>
          <t xml:space="preserve">L200 - Triton </t>
        </is>
      </c>
      <c r="C14" s="298" t="inlineStr">
        <is>
          <t>TN 73</t>
        </is>
      </c>
      <c r="D14" s="298" t="inlineStr">
        <is>
          <t>SINAL</t>
        </is>
      </c>
      <c r="E14" s="298" t="inlineStr">
        <is>
          <t>CKS</t>
        </is>
      </c>
      <c r="F14" s="298" t="inlineStr">
        <is>
          <t>RXC2D41</t>
        </is>
      </c>
      <c r="G14" s="298" t="inlineStr">
        <is>
          <t>CARAJÁS</t>
        </is>
      </c>
      <c r="H14" s="298" t="inlineStr">
        <is>
          <t>WALDECYR CICERO</t>
        </is>
      </c>
      <c r="I14" s="7" t="n">
        <v>45660</v>
      </c>
      <c r="J14" s="13" t="n">
        <v>34651</v>
      </c>
      <c r="K14" s="13" t="n">
        <v>34655</v>
      </c>
      <c r="L14" s="4" t="n">
        <v>45657</v>
      </c>
    </row>
    <row r="15">
      <c r="A15" s="322" t="inlineStr">
        <is>
          <t>Veículos - Novos Cadastros</t>
        </is>
      </c>
      <c r="B15" s="323" t="n"/>
      <c r="C15" s="323" t="n"/>
      <c r="D15" s="323" t="n"/>
      <c r="E15" s="323" t="n"/>
      <c r="F15" s="323" t="n"/>
      <c r="G15" s="323" t="n"/>
      <c r="H15" s="323" t="n"/>
      <c r="I15" s="323" t="n"/>
      <c r="J15" s="323" t="n"/>
      <c r="K15" s="323" t="n"/>
      <c r="L15" s="324" t="n"/>
    </row>
    <row r="16">
      <c r="A16" s="1" t="inlineStr">
        <is>
          <t>Tipo</t>
        </is>
      </c>
      <c r="B16" s="1" t="inlineStr">
        <is>
          <t xml:space="preserve">Modelos </t>
        </is>
      </c>
      <c r="C16" s="1" t="inlineStr">
        <is>
          <t>Tag</t>
        </is>
      </c>
      <c r="D16" s="1" t="inlineStr">
        <is>
          <t>Locadora</t>
        </is>
      </c>
      <c r="E16" s="1" t="inlineStr">
        <is>
          <t>Localidade</t>
        </is>
      </c>
      <c r="F16" s="1" t="inlineStr">
        <is>
          <t>Placa</t>
        </is>
      </c>
      <c r="G16" s="1" t="inlineStr">
        <is>
          <t>SSO</t>
        </is>
      </c>
      <c r="H16" s="1" t="inlineStr">
        <is>
          <t>Condutores</t>
        </is>
      </c>
      <c r="I16" s="1" t="inlineStr">
        <is>
          <t>SEMANA 01</t>
        </is>
      </c>
      <c r="J16" s="1" t="n"/>
      <c r="K16" s="1" t="inlineStr">
        <is>
          <t xml:space="preserve">KM  </t>
        </is>
      </c>
      <c r="L16" s="2" t="inlineStr">
        <is>
          <t xml:space="preserve">Validade </t>
        </is>
      </c>
    </row>
  </sheetData>
  <mergeCells count="2">
    <mergeCell ref="A3:L3"/>
    <mergeCell ref="A15:L15"/>
  </mergeCells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"/>
  <sheetViews>
    <sheetView topLeftCell="A3" zoomScale="90" zoomScaleNormal="90" workbookViewId="0">
      <selection activeCell="J5" sqref="J5"/>
    </sheetView>
  </sheetViews>
  <sheetFormatPr baseColWidth="8" defaultRowHeight="14.3"/>
  <cols>
    <col width="14.5" customWidth="1" min="1" max="1"/>
    <col width="18.5" bestFit="1" customWidth="1" min="2" max="2"/>
    <col width="8.5" customWidth="1" min="3" max="3"/>
    <col width="12.5" customWidth="1" min="4" max="4"/>
    <col width="11.5" customWidth="1" min="5" max="5"/>
    <col width="12.5" customWidth="1" min="6" max="7"/>
    <col width="18.5" bestFit="1" customWidth="1" min="8" max="8"/>
    <col width="20.5" customWidth="1" min="9" max="10"/>
    <col width="17.5" customWidth="1" min="11" max="11"/>
    <col width="12.875" customWidth="1" min="12" max="12"/>
    <col width="12.125" customWidth="1" min="14" max="14"/>
  </cols>
  <sheetData>
    <row r="1"/>
    <row r="2" ht="41.45" customHeight="1">
      <c r="A2" s="8" t="inlineStr">
        <is>
          <t xml:space="preserve">CONTROLE DE KM - COORDENAÇÃO CIARA ZANELATO 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</row>
    <row r="3" ht="27.7" customHeight="1">
      <c r="A3" s="290" t="inlineStr">
        <is>
          <t xml:space="preserve">Veículos Cadastrados </t>
        </is>
      </c>
      <c r="B3" s="321" t="n"/>
      <c r="C3" s="321" t="n"/>
      <c r="D3" s="321" t="n"/>
      <c r="E3" s="321" t="n"/>
      <c r="F3" s="321" t="n"/>
      <c r="G3" s="321" t="n"/>
      <c r="H3" s="321" t="n"/>
      <c r="I3" s="321" t="n"/>
      <c r="J3" s="321" t="n"/>
      <c r="K3" s="321" t="n"/>
      <c r="L3" s="321" t="n"/>
    </row>
    <row r="4" ht="18" customHeight="1">
      <c r="A4" s="1" t="inlineStr">
        <is>
          <t>Tipo</t>
        </is>
      </c>
      <c r="B4" s="1" t="inlineStr">
        <is>
          <t xml:space="preserve">Modelos </t>
        </is>
      </c>
      <c r="C4" s="1" t="inlineStr">
        <is>
          <t>Tag</t>
        </is>
      </c>
      <c r="D4" s="1" t="inlineStr">
        <is>
          <t>Locadora</t>
        </is>
      </c>
      <c r="E4" s="1" t="inlineStr">
        <is>
          <t>Localidade</t>
        </is>
      </c>
      <c r="F4" s="1" t="inlineStr">
        <is>
          <t>Placa</t>
        </is>
      </c>
      <c r="G4" s="1" t="inlineStr">
        <is>
          <t>SSO</t>
        </is>
      </c>
      <c r="H4" s="1" t="inlineStr">
        <is>
          <t>Condutores</t>
        </is>
      </c>
      <c r="I4" s="1" t="inlineStr">
        <is>
          <t>SEMANA 02</t>
        </is>
      </c>
      <c r="J4" s="1" t="inlineStr">
        <is>
          <t>KM ANTERIOR</t>
        </is>
      </c>
      <c r="K4" s="1" t="inlineStr">
        <is>
          <t>KM  ATUAL</t>
        </is>
      </c>
      <c r="L4" s="2" t="inlineStr">
        <is>
          <t xml:space="preserve">Validade </t>
        </is>
      </c>
    </row>
    <row r="5" ht="14.1" customHeight="1">
      <c r="A5" s="3" t="inlineStr">
        <is>
          <t>Caminhonete</t>
        </is>
      </c>
      <c r="B5" s="298" t="inlineStr">
        <is>
          <t>CHEVROLET S10</t>
        </is>
      </c>
      <c r="C5" s="3" t="inlineStr">
        <is>
          <t>TN 29</t>
        </is>
      </c>
      <c r="D5" s="3" t="inlineStr">
        <is>
          <t>Sonda</t>
        </is>
      </c>
      <c r="E5" s="3" t="inlineStr">
        <is>
          <t>CKS</t>
        </is>
      </c>
      <c r="F5" s="3" t="inlineStr">
        <is>
          <t>FXR0F35</t>
        </is>
      </c>
      <c r="G5" s="3" t="inlineStr">
        <is>
          <t>CARAJÁS</t>
        </is>
      </c>
      <c r="H5" s="10" t="inlineStr">
        <is>
          <t>JOÃO TAVARES</t>
        </is>
      </c>
      <c r="I5" s="7" t="n">
        <v>45681</v>
      </c>
      <c r="J5" s="13" t="n">
        <v>143532</v>
      </c>
      <c r="K5" s="13" t="n">
        <v>144419</v>
      </c>
      <c r="L5" s="4" t="n">
        <v>45799</v>
      </c>
    </row>
    <row r="6">
      <c r="A6" s="11" t="inlineStr">
        <is>
          <t>Caminhonete</t>
        </is>
      </c>
      <c r="B6" s="6" t="inlineStr">
        <is>
          <t xml:space="preserve">L200 - Triton </t>
        </is>
      </c>
      <c r="C6" s="11" t="inlineStr">
        <is>
          <t>TN 31</t>
        </is>
      </c>
      <c r="D6" s="11" t="inlineStr">
        <is>
          <t>SINAL</t>
        </is>
      </c>
      <c r="E6" s="11" t="inlineStr">
        <is>
          <t>CKS</t>
        </is>
      </c>
      <c r="F6" s="3" t="inlineStr">
        <is>
          <t>RXG6G10</t>
        </is>
      </c>
      <c r="G6" s="11" t="inlineStr">
        <is>
          <t>CARAJÁS</t>
        </is>
      </c>
      <c r="H6" s="12" t="inlineStr">
        <is>
          <t>CELIMARIO</t>
        </is>
      </c>
      <c r="I6" s="7" t="n">
        <v>45681</v>
      </c>
      <c r="J6" s="13" t="n">
        <v>48634</v>
      </c>
      <c r="K6" s="13" t="n">
        <v>49194</v>
      </c>
      <c r="L6" s="7" t="n">
        <v>45716</v>
      </c>
      <c r="N6" t="n">
        <v>2</v>
      </c>
    </row>
    <row r="7">
      <c r="A7" s="6" t="inlineStr">
        <is>
          <t>Caminhonete</t>
        </is>
      </c>
      <c r="B7" s="6" t="inlineStr">
        <is>
          <t xml:space="preserve">FORD RANGER </t>
        </is>
      </c>
      <c r="C7" s="6" t="inlineStr">
        <is>
          <t>TN 72</t>
        </is>
      </c>
      <c r="D7" s="6" t="inlineStr">
        <is>
          <t>Sonda</t>
        </is>
      </c>
      <c r="E7" s="6" t="inlineStr">
        <is>
          <t>CKS</t>
        </is>
      </c>
      <c r="F7" s="6" t="inlineStr">
        <is>
          <t>FXD9A18</t>
        </is>
      </c>
      <c r="G7" s="6" t="inlineStr">
        <is>
          <t>CARAJÁS</t>
        </is>
      </c>
      <c r="H7" s="6" t="inlineStr">
        <is>
          <t>RAIMUNDO CHARLES</t>
        </is>
      </c>
      <c r="I7" s="7" t="n">
        <v>45681</v>
      </c>
      <c r="J7" s="13" t="n">
        <v>80833</v>
      </c>
      <c r="K7" s="13" t="n">
        <v>81449</v>
      </c>
      <c r="L7" s="7" t="n">
        <v>45835</v>
      </c>
    </row>
    <row r="8" customFormat="1" s="19">
      <c r="A8" s="3" t="inlineStr">
        <is>
          <t>Caminhonete</t>
        </is>
      </c>
      <c r="B8" s="3" t="inlineStr">
        <is>
          <t>NISSAN FRONTIER</t>
        </is>
      </c>
      <c r="C8" s="3" t="inlineStr">
        <is>
          <t>TN 03</t>
        </is>
      </c>
      <c r="D8" s="3" t="inlineStr">
        <is>
          <t>SINAL</t>
        </is>
      </c>
      <c r="E8" s="3" t="inlineStr">
        <is>
          <t>CKS</t>
        </is>
      </c>
      <c r="F8" s="3" t="inlineStr">
        <is>
          <t>RXD1B51</t>
        </is>
      </c>
      <c r="G8" s="3" t="inlineStr">
        <is>
          <t>CARAJÁS</t>
        </is>
      </c>
      <c r="H8" s="3" t="inlineStr">
        <is>
          <t>VALE</t>
        </is>
      </c>
      <c r="I8" s="7" t="n">
        <v>45681</v>
      </c>
      <c r="J8" s="18" t="n">
        <v>23572</v>
      </c>
      <c r="K8" s="18" t="n">
        <v>24382</v>
      </c>
      <c r="L8" s="17" t="n">
        <v>45723</v>
      </c>
    </row>
    <row r="9" customFormat="1" s="32">
      <c r="A9" s="28" t="inlineStr">
        <is>
          <t>Veículo Leve</t>
        </is>
      </c>
      <c r="B9" s="295" t="inlineStr">
        <is>
          <t>JEEP RENEGADE</t>
        </is>
      </c>
      <c r="C9" s="295" t="inlineStr">
        <is>
          <t>TN 02</t>
        </is>
      </c>
      <c r="D9" s="295" t="inlineStr">
        <is>
          <t>LOCALIZA</t>
        </is>
      </c>
      <c r="E9" s="295" t="inlineStr">
        <is>
          <t>CKS</t>
        </is>
      </c>
      <c r="F9" s="295" t="inlineStr">
        <is>
          <t>SHN4H64</t>
        </is>
      </c>
      <c r="G9" s="295" t="inlineStr">
        <is>
          <t>CARAJÁS</t>
        </is>
      </c>
      <c r="H9" s="28" t="inlineStr">
        <is>
          <t xml:space="preserve">MELQUISEDEC </t>
        </is>
      </c>
      <c r="I9" s="30" t="n">
        <v>45674</v>
      </c>
      <c r="J9" s="31" t="n">
        <v>36236</v>
      </c>
      <c r="K9" s="31" t="n"/>
      <c r="L9" s="30" t="n">
        <v>45889</v>
      </c>
      <c r="M9" s="32" t="inlineStr">
        <is>
          <t xml:space="preserve">veiculo em Manutenção  </t>
        </is>
      </c>
    </row>
    <row r="10" customFormat="1" s="19">
      <c r="A10" s="298" t="inlineStr">
        <is>
          <t>Caminhonete</t>
        </is>
      </c>
      <c r="B10" s="3" t="inlineStr">
        <is>
          <t>NISSAN FRONTIER</t>
        </is>
      </c>
      <c r="C10" s="298" t="inlineStr">
        <is>
          <t>TN 74</t>
        </is>
      </c>
      <c r="D10" s="298" t="inlineStr">
        <is>
          <t>SINAL</t>
        </is>
      </c>
      <c r="E10" s="298" t="inlineStr">
        <is>
          <t>CKS</t>
        </is>
      </c>
      <c r="F10" s="298" t="inlineStr">
        <is>
          <t>RXD1B11</t>
        </is>
      </c>
      <c r="G10" s="298" t="inlineStr">
        <is>
          <t>CARAJÁS</t>
        </is>
      </c>
      <c r="H10" s="298" t="inlineStr">
        <is>
          <t>ERICK DA MATTA</t>
        </is>
      </c>
      <c r="I10" s="17" t="n">
        <v>45681</v>
      </c>
      <c r="J10" s="31" t="inlineStr">
        <is>
          <t>Manutencao</t>
        </is>
      </c>
      <c r="K10" s="18" t="n">
        <v>35910</v>
      </c>
      <c r="L10" s="17" t="n">
        <v>45737</v>
      </c>
    </row>
    <row r="11">
      <c r="A11" s="6" t="inlineStr">
        <is>
          <t>Caminhonete</t>
        </is>
      </c>
      <c r="B11" s="11" t="inlineStr">
        <is>
          <t>NISSAN FRONTIER</t>
        </is>
      </c>
      <c r="C11" s="6" t="inlineStr">
        <is>
          <t>TN 75</t>
        </is>
      </c>
      <c r="D11" s="6" t="inlineStr">
        <is>
          <t>SINAL</t>
        </is>
      </c>
      <c r="E11" s="6" t="inlineStr">
        <is>
          <t>CKS</t>
        </is>
      </c>
      <c r="F11" s="298" t="inlineStr">
        <is>
          <t>RXB4A21</t>
        </is>
      </c>
      <c r="G11" s="6" t="inlineStr">
        <is>
          <t>CARAJÁS</t>
        </is>
      </c>
      <c r="H11" s="6" t="inlineStr">
        <is>
          <t>JANDERSON COSTA</t>
        </is>
      </c>
      <c r="I11" s="7" t="n">
        <v>45681</v>
      </c>
      <c r="J11" s="13" t="n">
        <v>74047</v>
      </c>
      <c r="K11" s="13" t="n">
        <v>74613</v>
      </c>
      <c r="L11" s="7" t="n">
        <v>45716</v>
      </c>
    </row>
    <row r="12">
      <c r="A12" s="6" t="inlineStr">
        <is>
          <t>Caminhonete</t>
        </is>
      </c>
      <c r="B12" s="11" t="inlineStr">
        <is>
          <t>NISSAN FRONTIER</t>
        </is>
      </c>
      <c r="C12" s="6" t="inlineStr">
        <is>
          <t>TN 76</t>
        </is>
      </c>
      <c r="D12" s="6" t="inlineStr">
        <is>
          <t>SINAL</t>
        </is>
      </c>
      <c r="E12" s="6" t="inlineStr">
        <is>
          <t>CKS</t>
        </is>
      </c>
      <c r="F12" s="6" t="inlineStr">
        <is>
          <t>RXD0C41</t>
        </is>
      </c>
      <c r="G12" s="6" t="inlineStr">
        <is>
          <t>CARAJÁS</t>
        </is>
      </c>
      <c r="H12" s="6" t="inlineStr">
        <is>
          <t>JANDERSON COSTA</t>
        </is>
      </c>
      <c r="I12" s="7" t="n">
        <v>45681</v>
      </c>
      <c r="J12" s="13" t="n">
        <v>52304</v>
      </c>
      <c r="K12" s="13" t="n">
        <v>52935</v>
      </c>
      <c r="L12" s="7" t="n">
        <v>45751</v>
      </c>
    </row>
    <row r="13" customFormat="1" s="19">
      <c r="A13" s="298" t="inlineStr">
        <is>
          <t>Caminhonete</t>
        </is>
      </c>
      <c r="B13" s="3" t="inlineStr">
        <is>
          <t>NISSAN FRONTIER</t>
        </is>
      </c>
      <c r="C13" s="298" t="inlineStr">
        <is>
          <t>TN 04</t>
        </is>
      </c>
      <c r="D13" s="298" t="inlineStr">
        <is>
          <t>SINAL</t>
        </is>
      </c>
      <c r="E13" s="298" t="inlineStr">
        <is>
          <t>CKS</t>
        </is>
      </c>
      <c r="F13" s="298" t="inlineStr">
        <is>
          <t>RXG2A49</t>
        </is>
      </c>
      <c r="G13" s="298" t="inlineStr">
        <is>
          <t>CARAJÁS</t>
        </is>
      </c>
      <c r="H13" s="298" t="inlineStr">
        <is>
          <t>RENATO RAMALHO</t>
        </is>
      </c>
      <c r="I13" s="17" t="n">
        <v>45681</v>
      </c>
      <c r="J13" s="18" t="n">
        <v>84067</v>
      </c>
      <c r="K13" s="18" t="n">
        <v>84180</v>
      </c>
      <c r="L13" s="17" t="n">
        <v>45734</v>
      </c>
    </row>
    <row r="14">
      <c r="A14" s="298" t="inlineStr">
        <is>
          <t>Caminhonete</t>
        </is>
      </c>
      <c r="B14" s="6" t="inlineStr">
        <is>
          <t xml:space="preserve">L200 - Triton </t>
        </is>
      </c>
      <c r="C14" s="298" t="inlineStr">
        <is>
          <t>TN 73</t>
        </is>
      </c>
      <c r="D14" s="298" t="inlineStr">
        <is>
          <t>SINAL</t>
        </is>
      </c>
      <c r="E14" s="298" t="inlineStr">
        <is>
          <t>CKS</t>
        </is>
      </c>
      <c r="F14" s="298" t="inlineStr">
        <is>
          <t>RXC2D41</t>
        </is>
      </c>
      <c r="G14" s="298" t="inlineStr">
        <is>
          <t>CARAJÁS</t>
        </is>
      </c>
      <c r="H14" s="298" t="inlineStr">
        <is>
          <t>WALDECYR CICERO</t>
        </is>
      </c>
      <c r="I14" s="7" t="n">
        <v>45681</v>
      </c>
      <c r="J14" s="13" t="n">
        <v>35187</v>
      </c>
      <c r="K14" s="13" t="n">
        <v>35628</v>
      </c>
      <c r="L14" s="4" t="n">
        <v>45751</v>
      </c>
    </row>
    <row r="15">
      <c r="A15" s="322" t="inlineStr">
        <is>
          <t>Veículos - Novos Cadastros</t>
        </is>
      </c>
      <c r="B15" s="323" t="n"/>
      <c r="C15" s="323" t="n"/>
      <c r="D15" s="323" t="n"/>
      <c r="E15" s="323" t="n"/>
      <c r="F15" s="323" t="n"/>
      <c r="G15" s="323" t="n"/>
      <c r="H15" s="323" t="n"/>
      <c r="I15" s="323" t="n"/>
      <c r="J15" s="323" t="n"/>
      <c r="K15" s="323" t="n"/>
      <c r="L15" s="324" t="n"/>
    </row>
    <row r="16">
      <c r="A16" s="1" t="inlineStr">
        <is>
          <t>Tipo</t>
        </is>
      </c>
      <c r="B16" s="1" t="inlineStr">
        <is>
          <t xml:space="preserve">Modelos </t>
        </is>
      </c>
      <c r="C16" s="1" t="inlineStr">
        <is>
          <t>Tag</t>
        </is>
      </c>
      <c r="D16" s="1" t="inlineStr">
        <is>
          <t>Locadora</t>
        </is>
      </c>
      <c r="E16" s="1" t="inlineStr">
        <is>
          <t>Localidade</t>
        </is>
      </c>
      <c r="F16" s="1" t="inlineStr">
        <is>
          <t>Placa</t>
        </is>
      </c>
      <c r="G16" s="1" t="inlineStr">
        <is>
          <t>SSO</t>
        </is>
      </c>
      <c r="H16" s="1" t="inlineStr">
        <is>
          <t>Condutores</t>
        </is>
      </c>
      <c r="I16" s="1" t="inlineStr">
        <is>
          <t>SEMANA 01</t>
        </is>
      </c>
      <c r="J16" s="1" t="n"/>
      <c r="K16" s="1" t="inlineStr">
        <is>
          <t xml:space="preserve">KM  </t>
        </is>
      </c>
      <c r="L16" s="2" t="inlineStr">
        <is>
          <t xml:space="preserve">Validade </t>
        </is>
      </c>
    </row>
    <row r="17"/>
    <row r="18">
      <c r="C18" s="298" t="inlineStr">
        <is>
          <t>TN 73</t>
        </is>
      </c>
      <c r="D18" s="298" t="inlineStr">
        <is>
          <t>SINAL</t>
        </is>
      </c>
      <c r="E18" s="298" t="inlineStr">
        <is>
          <t>CKS</t>
        </is>
      </c>
      <c r="F18" s="298" t="inlineStr">
        <is>
          <t>RXC2D41</t>
        </is>
      </c>
      <c r="G18" s="26" t="inlineStr">
        <is>
          <t xml:space="preserve"> Carro em Manutenção desde :10/01</t>
        </is>
      </c>
    </row>
    <row r="19">
      <c r="C19" s="6" t="inlineStr">
        <is>
          <t>TN 75</t>
        </is>
      </c>
      <c r="D19" s="6" t="inlineStr">
        <is>
          <t>SINAL</t>
        </is>
      </c>
      <c r="E19" s="6" t="inlineStr">
        <is>
          <t>CKS</t>
        </is>
      </c>
      <c r="F19" s="298" t="inlineStr">
        <is>
          <t>RXB4A21</t>
        </is>
      </c>
      <c r="H19" s="27" t="inlineStr">
        <is>
          <t>veiculo em Manutenção desde 09/01</t>
        </is>
      </c>
    </row>
  </sheetData>
  <mergeCells count="2">
    <mergeCell ref="A3:L3"/>
    <mergeCell ref="A15:L15"/>
  </mergeCells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K11" sqref="K11"/>
    </sheetView>
  </sheetViews>
  <sheetFormatPr baseColWidth="8" defaultRowHeight="14.3"/>
  <cols>
    <col width="12.5" customWidth="1" min="1" max="1"/>
    <col width="22.125" customWidth="1" min="2" max="2"/>
    <col width="18.5" bestFit="1" customWidth="1" min="8" max="8"/>
    <col width="10.5" bestFit="1" customWidth="1" min="9" max="9"/>
    <col width="12.5" bestFit="1" customWidth="1" min="10" max="10"/>
    <col width="10" bestFit="1" customWidth="1" min="11" max="11"/>
    <col width="15.5" customWidth="1" min="12" max="12"/>
    <col width="10.5" bestFit="1" customWidth="1" min="13" max="13"/>
    <col width="13" bestFit="1" customWidth="1" min="14" max="14"/>
  </cols>
  <sheetData>
    <row r="1">
      <c r="A1" s="8" t="inlineStr">
        <is>
          <t xml:space="preserve">CONTROLE DE KM - COORDENAÇÃO CIARA ZANELATO 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</row>
    <row r="2">
      <c r="A2" s="36" t="inlineStr">
        <is>
          <t xml:space="preserve">Veículos Cadastrados 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7" t="n"/>
      <c r="K2" s="37" t="n"/>
      <c r="L2" s="37" t="n"/>
      <c r="M2" s="37" t="n"/>
    </row>
    <row r="3">
      <c r="A3" s="1" t="inlineStr">
        <is>
          <t>Tipo</t>
        </is>
      </c>
      <c r="B3" s="1" t="inlineStr">
        <is>
          <t xml:space="preserve">Modelos </t>
        </is>
      </c>
      <c r="C3" s="1" t="inlineStr">
        <is>
          <t>Tag</t>
        </is>
      </c>
      <c r="D3" s="1" t="inlineStr">
        <is>
          <t>Locadora</t>
        </is>
      </c>
      <c r="E3" s="1" t="inlineStr">
        <is>
          <t>Localidade</t>
        </is>
      </c>
      <c r="F3" s="1" t="inlineStr">
        <is>
          <t>Placa</t>
        </is>
      </c>
      <c r="G3" s="1" t="inlineStr">
        <is>
          <t>SSO</t>
        </is>
      </c>
      <c r="H3" s="1" t="inlineStr">
        <is>
          <t>Condutores</t>
        </is>
      </c>
      <c r="I3" s="1" t="inlineStr">
        <is>
          <t>SEMANA 02</t>
        </is>
      </c>
      <c r="J3" s="1" t="inlineStr">
        <is>
          <t>KM ANTERIOR</t>
        </is>
      </c>
      <c r="K3" s="1" t="inlineStr">
        <is>
          <t>KM  ATUAL</t>
        </is>
      </c>
      <c r="L3" s="42" t="inlineStr">
        <is>
          <t>Ultima lavagem</t>
        </is>
      </c>
      <c r="M3" s="2" t="inlineStr">
        <is>
          <t xml:space="preserve">Validade </t>
        </is>
      </c>
      <c r="N3" s="38" t="inlineStr">
        <is>
          <t>Prox. Lavagem</t>
        </is>
      </c>
    </row>
    <row r="4">
      <c r="A4" s="3" t="inlineStr">
        <is>
          <t>Caminhonete</t>
        </is>
      </c>
      <c r="B4" s="298" t="inlineStr">
        <is>
          <t>CHEVROLET S10</t>
        </is>
      </c>
      <c r="C4" s="3" t="inlineStr">
        <is>
          <t>TN 29</t>
        </is>
      </c>
      <c r="D4" s="3" t="inlineStr">
        <is>
          <t>Sonda</t>
        </is>
      </c>
      <c r="E4" s="3" t="inlineStr">
        <is>
          <t>CKS</t>
        </is>
      </c>
      <c r="F4" s="3" t="inlineStr">
        <is>
          <t>FXR0F35</t>
        </is>
      </c>
      <c r="G4" s="3" t="inlineStr">
        <is>
          <t>CARAJÁS</t>
        </is>
      </c>
      <c r="H4" s="10" t="inlineStr">
        <is>
          <t>JOÃO TAVARES</t>
        </is>
      </c>
      <c r="I4" s="7" t="n">
        <v>45709</v>
      </c>
      <c r="J4" s="13" t="n">
        <v>147540</v>
      </c>
      <c r="K4" s="18" t="n">
        <v>148438</v>
      </c>
      <c r="L4" s="7" t="n">
        <v>45712</v>
      </c>
      <c r="M4" s="4" t="n">
        <v>45799</v>
      </c>
      <c r="N4" s="7" t="n">
        <v>45722</v>
      </c>
    </row>
    <row r="5">
      <c r="A5" s="6" t="inlineStr">
        <is>
          <t>Caminhonete</t>
        </is>
      </c>
      <c r="B5" s="6" t="inlineStr">
        <is>
          <t xml:space="preserve">L200 - Triton </t>
        </is>
      </c>
      <c r="C5" s="6" t="inlineStr">
        <is>
          <t>TN 31</t>
        </is>
      </c>
      <c r="D5" s="6" t="inlineStr">
        <is>
          <t>SINAL</t>
        </is>
      </c>
      <c r="E5" s="6" t="inlineStr">
        <is>
          <t>CKS</t>
        </is>
      </c>
      <c r="F5" s="6" t="inlineStr">
        <is>
          <t>RXG6G10</t>
        </is>
      </c>
      <c r="G5" s="6" t="inlineStr">
        <is>
          <t>CARAJÁS</t>
        </is>
      </c>
      <c r="H5" s="6" t="inlineStr">
        <is>
          <t>Lucas</t>
        </is>
      </c>
      <c r="I5" s="7" t="n">
        <v>45709</v>
      </c>
      <c r="J5" s="13" t="n">
        <v>50458</v>
      </c>
      <c r="K5" s="13" t="n"/>
      <c r="L5" s="7" t="n">
        <v>45714</v>
      </c>
      <c r="M5" s="7" t="n">
        <v>45716</v>
      </c>
      <c r="N5" s="7" t="n">
        <v>45694</v>
      </c>
    </row>
    <row r="6">
      <c r="A6" s="6" t="inlineStr">
        <is>
          <t>Caminhonete</t>
        </is>
      </c>
      <c r="B6" s="6" t="inlineStr">
        <is>
          <t xml:space="preserve">FORD RANGER </t>
        </is>
      </c>
      <c r="C6" s="6" t="inlineStr">
        <is>
          <t>TN 72</t>
        </is>
      </c>
      <c r="D6" s="6" t="inlineStr">
        <is>
          <t>Sonda</t>
        </is>
      </c>
      <c r="E6" s="6" t="inlineStr">
        <is>
          <t>CKS</t>
        </is>
      </c>
      <c r="F6" s="6" t="inlineStr">
        <is>
          <t>FXD9A18</t>
        </is>
      </c>
      <c r="G6" s="6" t="inlineStr">
        <is>
          <t>CARAJÁS</t>
        </is>
      </c>
      <c r="H6" s="6" t="inlineStr">
        <is>
          <t>RAIMUNDO CHARLES</t>
        </is>
      </c>
      <c r="I6" s="7" t="n">
        <v>45709</v>
      </c>
      <c r="J6" s="13" t="n">
        <v>84900</v>
      </c>
      <c r="K6" s="13" t="n">
        <v>85531</v>
      </c>
      <c r="L6" s="7" t="n">
        <v>45705</v>
      </c>
      <c r="M6" s="7" t="n">
        <v>45835</v>
      </c>
      <c r="N6" s="7" t="n">
        <v>45727</v>
      </c>
    </row>
    <row r="7">
      <c r="A7" s="6" t="inlineStr">
        <is>
          <t>Caminhonete</t>
        </is>
      </c>
      <c r="B7" s="11" t="inlineStr">
        <is>
          <t>NISSAN FRONTIER</t>
        </is>
      </c>
      <c r="C7" s="6" t="inlineStr">
        <is>
          <t>TN 03</t>
        </is>
      </c>
      <c r="D7" s="6" t="inlineStr">
        <is>
          <t>SINAL</t>
        </is>
      </c>
      <c r="E7" s="6" t="inlineStr">
        <is>
          <t>CKS</t>
        </is>
      </c>
      <c r="F7" s="6" t="inlineStr">
        <is>
          <t>RXD1B51</t>
        </is>
      </c>
      <c r="G7" s="6" t="inlineStr">
        <is>
          <t>CARAJÁS</t>
        </is>
      </c>
      <c r="H7" s="6" t="inlineStr">
        <is>
          <t>Lucas</t>
        </is>
      </c>
      <c r="I7" s="7" t="n">
        <v>45709</v>
      </c>
      <c r="J7" s="13" t="n">
        <v>26776</v>
      </c>
      <c r="K7" s="13" t="n">
        <v>27303</v>
      </c>
      <c r="L7" s="7" t="n">
        <v>45714</v>
      </c>
      <c r="M7" s="7" t="n">
        <v>45723</v>
      </c>
      <c r="N7" s="7" t="n">
        <v>45723</v>
      </c>
    </row>
    <row r="8">
      <c r="A8" s="295" t="inlineStr">
        <is>
          <t>Veículo Leve</t>
        </is>
      </c>
      <c r="B8" s="295" t="inlineStr">
        <is>
          <t>JEEP RENEGADE</t>
        </is>
      </c>
      <c r="C8" s="295" t="inlineStr">
        <is>
          <t>TN 02</t>
        </is>
      </c>
      <c r="D8" s="295" t="inlineStr">
        <is>
          <t>LOCALIZA</t>
        </is>
      </c>
      <c r="E8" s="295" t="inlineStr">
        <is>
          <t>CKS</t>
        </is>
      </c>
      <c r="F8" s="295" t="inlineStr">
        <is>
          <t>SHN4H64</t>
        </is>
      </c>
      <c r="G8" s="295" t="inlineStr">
        <is>
          <t>CARAJÁS</t>
        </is>
      </c>
      <c r="H8" s="295" t="inlineStr">
        <is>
          <t>Ciara</t>
        </is>
      </c>
      <c r="I8" s="30" t="n">
        <v>45695</v>
      </c>
      <c r="J8" s="31" t="n">
        <v>37094</v>
      </c>
      <c r="K8" s="31" t="n"/>
      <c r="L8" s="30" t="n"/>
      <c r="M8" s="30" t="n">
        <v>45889</v>
      </c>
      <c r="N8" s="30" t="n"/>
    </row>
    <row r="9">
      <c r="A9" s="298" t="inlineStr">
        <is>
          <t>Caminhonete</t>
        </is>
      </c>
      <c r="B9" s="3" t="inlineStr">
        <is>
          <t>NISSAN FRONTIER</t>
        </is>
      </c>
      <c r="C9" s="298" t="inlineStr">
        <is>
          <t>TN 74</t>
        </is>
      </c>
      <c r="D9" s="298" t="inlineStr">
        <is>
          <t>SINAL</t>
        </is>
      </c>
      <c r="E9" s="298" t="inlineStr">
        <is>
          <t>CKS</t>
        </is>
      </c>
      <c r="F9" s="298" t="inlineStr">
        <is>
          <t>RXD1B11</t>
        </is>
      </c>
      <c r="G9" s="298" t="inlineStr">
        <is>
          <t>CARAJÁS</t>
        </is>
      </c>
      <c r="H9" s="40" t="inlineStr">
        <is>
          <t>ERICK</t>
        </is>
      </c>
      <c r="I9" s="7" t="n">
        <v>45709</v>
      </c>
      <c r="J9" s="18" t="n">
        <v>39605</v>
      </c>
      <c r="K9" s="18" t="n">
        <v>40151</v>
      </c>
      <c r="L9" s="7" t="n">
        <v>45716</v>
      </c>
      <c r="M9" s="17" t="n">
        <v>45737</v>
      </c>
      <c r="N9" s="7" t="n">
        <v>45728</v>
      </c>
    </row>
    <row r="10">
      <c r="A10" s="6" t="inlineStr">
        <is>
          <t>Caminhonete</t>
        </is>
      </c>
      <c r="B10" s="11" t="inlineStr">
        <is>
          <t>NISSAN FRONTIER</t>
        </is>
      </c>
      <c r="C10" s="6" t="inlineStr">
        <is>
          <t>TN 75</t>
        </is>
      </c>
      <c r="D10" s="6" t="inlineStr">
        <is>
          <t>SINAL</t>
        </is>
      </c>
      <c r="E10" s="6" t="inlineStr">
        <is>
          <t>CKS</t>
        </is>
      </c>
      <c r="F10" s="6" t="inlineStr">
        <is>
          <t>RXB4A21</t>
        </is>
      </c>
      <c r="G10" s="6" t="inlineStr">
        <is>
          <t>CARAJÁS</t>
        </is>
      </c>
      <c r="H10" s="41" t="inlineStr">
        <is>
          <t>JANDERSON COSTA</t>
        </is>
      </c>
      <c r="I10" s="7" t="n">
        <v>45709</v>
      </c>
      <c r="J10" s="13" t="n">
        <v>76775</v>
      </c>
      <c r="K10" s="13" t="n">
        <v>77357</v>
      </c>
      <c r="L10" s="7" t="n">
        <v>45713</v>
      </c>
      <c r="M10" s="7" t="n">
        <v>45716</v>
      </c>
      <c r="N10" s="7" t="n">
        <v>45722</v>
      </c>
    </row>
    <row r="11">
      <c r="A11" s="6" t="inlineStr">
        <is>
          <t>Caminhonete</t>
        </is>
      </c>
      <c r="B11" s="11" t="inlineStr">
        <is>
          <t>NISSAN FRONTIER</t>
        </is>
      </c>
      <c r="C11" s="6" t="inlineStr">
        <is>
          <t>TN 76</t>
        </is>
      </c>
      <c r="D11" s="6" t="inlineStr">
        <is>
          <t>SINAL</t>
        </is>
      </c>
      <c r="E11" s="6" t="inlineStr">
        <is>
          <t>CKS</t>
        </is>
      </c>
      <c r="F11" s="6" t="inlineStr">
        <is>
          <t>RXD0C41</t>
        </is>
      </c>
      <c r="G11" s="6" t="inlineStr">
        <is>
          <t>CARAJÁS</t>
        </is>
      </c>
      <c r="H11" s="6" t="inlineStr">
        <is>
          <t>WERIKLIS</t>
        </is>
      </c>
      <c r="I11" s="7" t="n">
        <v>45709</v>
      </c>
      <c r="J11" s="13" t="n">
        <v>55299</v>
      </c>
      <c r="K11" s="13" t="n">
        <v>56028</v>
      </c>
      <c r="L11" s="7" t="n">
        <v>45716</v>
      </c>
      <c r="M11" s="7" t="n">
        <v>45751</v>
      </c>
      <c r="N11" s="7" t="n">
        <v>45726</v>
      </c>
    </row>
    <row r="12">
      <c r="A12" s="295" t="inlineStr">
        <is>
          <t>Caminhonete</t>
        </is>
      </c>
      <c r="B12" s="295" t="inlineStr">
        <is>
          <t>NISSAN FRONTIER</t>
        </is>
      </c>
      <c r="C12" s="295" t="inlineStr">
        <is>
          <t>TN 04</t>
        </is>
      </c>
      <c r="D12" s="295" t="inlineStr">
        <is>
          <t>SINAL</t>
        </is>
      </c>
      <c r="E12" s="295" t="inlineStr">
        <is>
          <t>CKS</t>
        </is>
      </c>
      <c r="F12" s="295" t="inlineStr">
        <is>
          <t>RXG2A49</t>
        </is>
      </c>
      <c r="G12" s="295" t="inlineStr">
        <is>
          <t>CARAJÁS</t>
        </is>
      </c>
      <c r="H12" s="295" t="inlineStr">
        <is>
          <t>WILLIAN FERNANDO</t>
        </is>
      </c>
      <c r="I12" s="30" t="n">
        <v>45709</v>
      </c>
      <c r="J12" s="31" t="n">
        <v>85030</v>
      </c>
      <c r="K12" s="31" t="n"/>
      <c r="L12" s="30" t="n"/>
      <c r="M12" s="30" t="n">
        <v>45734</v>
      </c>
      <c r="N12" s="30" t="n"/>
    </row>
    <row r="13">
      <c r="A13" s="298" t="inlineStr">
        <is>
          <t>Caminhonete</t>
        </is>
      </c>
      <c r="B13" s="6" t="inlineStr">
        <is>
          <t xml:space="preserve">L200 - Triton </t>
        </is>
      </c>
      <c r="C13" s="298" t="inlineStr">
        <is>
          <t>TN 73</t>
        </is>
      </c>
      <c r="D13" s="298" t="inlineStr">
        <is>
          <t>SINAL</t>
        </is>
      </c>
      <c r="E13" s="298" t="inlineStr">
        <is>
          <t>CKS</t>
        </is>
      </c>
      <c r="F13" s="298" t="inlineStr">
        <is>
          <t>RXC2D41</t>
        </is>
      </c>
      <c r="G13" s="298" t="inlineStr">
        <is>
          <t>CARAJÁS</t>
        </is>
      </c>
      <c r="H13" s="298" t="inlineStr">
        <is>
          <t>ROSIVALDO</t>
        </is>
      </c>
      <c r="I13" s="7" t="n">
        <v>45709</v>
      </c>
      <c r="J13" s="13" t="n">
        <v>37681</v>
      </c>
      <c r="K13" s="13" t="n">
        <v>38443</v>
      </c>
      <c r="L13" s="7" t="n">
        <v>45714</v>
      </c>
      <c r="M13" s="4" t="n">
        <v>45751</v>
      </c>
      <c r="N13" s="7" t="n">
        <v>45722</v>
      </c>
    </row>
    <row r="14">
      <c r="A14" s="292" t="inlineStr">
        <is>
          <t>Veículos - Novos Cadastros</t>
        </is>
      </c>
      <c r="B14" s="323" t="n"/>
      <c r="C14" s="323" t="n"/>
      <c r="D14" s="323" t="n"/>
      <c r="E14" s="323" t="n"/>
      <c r="F14" s="323" t="n"/>
      <c r="G14" s="323" t="n"/>
      <c r="H14" s="323" t="n"/>
      <c r="I14" s="323" t="n"/>
      <c r="J14" s="323" t="n"/>
      <c r="K14" s="323" t="n"/>
      <c r="L14" s="323" t="n"/>
      <c r="M14" s="323" t="n"/>
      <c r="N14" s="323" t="n"/>
    </row>
    <row r="15">
      <c r="A15" s="1" t="inlineStr">
        <is>
          <t>Tipo</t>
        </is>
      </c>
      <c r="B15" s="1" t="inlineStr">
        <is>
          <t xml:space="preserve">Modelos </t>
        </is>
      </c>
      <c r="C15" s="1" t="inlineStr">
        <is>
          <t>Tag</t>
        </is>
      </c>
      <c r="D15" s="1" t="inlineStr">
        <is>
          <t>Locadora</t>
        </is>
      </c>
      <c r="E15" s="1" t="inlineStr">
        <is>
          <t>Localidade</t>
        </is>
      </c>
      <c r="F15" s="1" t="inlineStr">
        <is>
          <t>Placa</t>
        </is>
      </c>
      <c r="G15" s="1" t="inlineStr">
        <is>
          <t>SSO</t>
        </is>
      </c>
      <c r="H15" s="1" t="inlineStr">
        <is>
          <t>Condutores</t>
        </is>
      </c>
      <c r="I15" s="1" t="inlineStr">
        <is>
          <t>SEMANA 01</t>
        </is>
      </c>
      <c r="J15" s="1" t="n"/>
      <c r="K15" s="1" t="inlineStr">
        <is>
          <t xml:space="preserve">KM  </t>
        </is>
      </c>
      <c r="L15" s="1" t="n"/>
      <c r="M15" s="2" t="inlineStr">
        <is>
          <t xml:space="preserve">Validade </t>
        </is>
      </c>
      <c r="N15" s="38" t="inlineStr">
        <is>
          <t>Prox. Lavagem</t>
        </is>
      </c>
    </row>
    <row r="16"/>
    <row r="17"/>
    <row r="18">
      <c r="E18" s="295" t="inlineStr">
        <is>
          <t xml:space="preserve">TN 03 ÚNICO CARRO CAS DISPONIVEL PRA MINA </t>
        </is>
      </c>
      <c r="F18" s="323" t="n"/>
      <c r="G18" s="323" t="n"/>
      <c r="H18" s="323" t="n"/>
      <c r="I18" s="324" t="n"/>
    </row>
    <row r="19">
      <c r="E19" s="295" t="inlineStr">
        <is>
          <t>TN 04 DEVOLVIDA PRA SINAL 13/02/2025</t>
        </is>
      </c>
      <c r="F19" s="323" t="n"/>
      <c r="G19" s="323" t="n"/>
      <c r="H19" s="323" t="n"/>
      <c r="I19" s="324" t="n"/>
    </row>
    <row r="20">
      <c r="E20" s="295" t="inlineStr">
        <is>
          <t>TN 02 DEVOLVIDA PRA LOCALIZA 07/02/2025</t>
        </is>
      </c>
      <c r="F20" s="323" t="n"/>
      <c r="G20" s="323" t="n"/>
      <c r="H20" s="323" t="n"/>
      <c r="I20" s="324" t="n"/>
    </row>
    <row r="21"/>
    <row r="22">
      <c r="K22" s="1" t="inlineStr">
        <is>
          <t>Tag</t>
        </is>
      </c>
      <c r="L22" s="2" t="inlineStr">
        <is>
          <t xml:space="preserve">Validade </t>
        </is>
      </c>
      <c r="M22" s="43" t="n"/>
    </row>
    <row r="23">
      <c r="K23" s="6" t="inlineStr">
        <is>
          <t>TN 03</t>
        </is>
      </c>
      <c r="L23" s="7" t="n">
        <v>45723</v>
      </c>
    </row>
    <row r="24">
      <c r="K24" s="6" t="inlineStr">
        <is>
          <t>TN 75</t>
        </is>
      </c>
      <c r="L24" s="7" t="n">
        <v>45716</v>
      </c>
    </row>
    <row r="25">
      <c r="K25" s="6" t="inlineStr">
        <is>
          <t>TN 31</t>
        </is>
      </c>
      <c r="L25" s="7" t="n">
        <v>45716</v>
      </c>
      <c r="M25" s="296" t="inlineStr">
        <is>
          <t>correção de telemetria dia 24/02</t>
        </is>
      </c>
    </row>
  </sheetData>
  <mergeCells count="5">
    <mergeCell ref="M25:N25"/>
    <mergeCell ref="E20:I20"/>
    <mergeCell ref="E19:I19"/>
    <mergeCell ref="A14:N14"/>
    <mergeCell ref="E18:I18"/>
  </mergeCells>
  <pageMargins left="0.511811024" right="0.511811024" top="0.787401575" bottom="0.787401575" header="0.31496062" footer="0.31496062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N26" sqref="N26"/>
    </sheetView>
  </sheetViews>
  <sheetFormatPr baseColWidth="8" defaultRowHeight="14.3"/>
  <cols>
    <col width="22.5" customWidth="1" min="1" max="1"/>
    <col width="17.5" customWidth="1" min="2" max="2"/>
    <col width="19.5" customWidth="1" min="8" max="8"/>
    <col width="17.125" customWidth="1" min="9" max="9"/>
    <col width="12.5" customWidth="1" min="10" max="10"/>
    <col width="11.125" customWidth="1" min="11" max="11"/>
    <col width="12.5" customWidth="1" min="12" max="12"/>
    <col width="11.875" customWidth="1" min="13" max="13"/>
    <col width="12.5" customWidth="1" min="14" max="14"/>
  </cols>
  <sheetData>
    <row r="1">
      <c r="A1" s="8" t="inlineStr">
        <is>
          <t xml:space="preserve">CONTROLE DE KM - COORDENAÇÃO CIARA ZANELATO 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</row>
    <row r="2">
      <c r="A2" s="36" t="inlineStr">
        <is>
          <t xml:space="preserve">Veículos Cadastrados 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7" t="n"/>
      <c r="K2" s="37" t="n"/>
      <c r="L2" s="37" t="n"/>
      <c r="M2" s="37" t="n"/>
    </row>
    <row r="3">
      <c r="A3" s="1" t="inlineStr">
        <is>
          <t>Tipo</t>
        </is>
      </c>
      <c r="B3" s="1" t="inlineStr">
        <is>
          <t xml:space="preserve">Modelos </t>
        </is>
      </c>
      <c r="C3" s="1" t="inlineStr">
        <is>
          <t>Tag</t>
        </is>
      </c>
      <c r="D3" s="1" t="inlineStr">
        <is>
          <t>Locadora</t>
        </is>
      </c>
      <c r="E3" s="1" t="inlineStr">
        <is>
          <t>Localidade</t>
        </is>
      </c>
      <c r="F3" s="1" t="inlineStr">
        <is>
          <t>Placa</t>
        </is>
      </c>
      <c r="G3" s="1" t="inlineStr">
        <is>
          <t>SSO</t>
        </is>
      </c>
      <c r="H3" s="1" t="inlineStr">
        <is>
          <t>Condutores</t>
        </is>
      </c>
      <c r="I3" s="1" t="inlineStr">
        <is>
          <t>SEMANA 02</t>
        </is>
      </c>
      <c r="J3" s="1" t="inlineStr">
        <is>
          <t>KM ANTERIOR</t>
        </is>
      </c>
      <c r="K3" s="1" t="inlineStr">
        <is>
          <t>KM  ATUAL</t>
        </is>
      </c>
      <c r="L3" s="1" t="inlineStr">
        <is>
          <t>Lavagem</t>
        </is>
      </c>
      <c r="M3" s="2" t="inlineStr">
        <is>
          <t xml:space="preserve">Validade </t>
        </is>
      </c>
      <c r="N3" s="38" t="inlineStr">
        <is>
          <t>Prox. Lavagem</t>
        </is>
      </c>
    </row>
    <row r="4">
      <c r="A4" s="3" t="inlineStr">
        <is>
          <t>Caminhonete</t>
        </is>
      </c>
      <c r="B4" s="298" t="inlineStr">
        <is>
          <t>CHEVROLET S10</t>
        </is>
      </c>
      <c r="C4" s="3" t="inlineStr">
        <is>
          <t>TN 29</t>
        </is>
      </c>
      <c r="D4" s="3" t="inlineStr">
        <is>
          <t>Sonda</t>
        </is>
      </c>
      <c r="E4" s="3" t="inlineStr">
        <is>
          <t>CKS</t>
        </is>
      </c>
      <c r="F4" s="3" t="inlineStr">
        <is>
          <t>FXR0F35</t>
        </is>
      </c>
      <c r="G4" s="3" t="inlineStr">
        <is>
          <t>CARAJÁS</t>
        </is>
      </c>
      <c r="H4" s="10" t="inlineStr">
        <is>
          <t>JOÃO TAVARES</t>
        </is>
      </c>
      <c r="I4" s="7" t="n">
        <v>45695</v>
      </c>
      <c r="J4" s="13" t="n">
        <v>145675</v>
      </c>
      <c r="K4" s="13" t="n">
        <v>146562</v>
      </c>
      <c r="L4" s="7" t="n"/>
      <c r="M4" s="4" t="n">
        <v>45799</v>
      </c>
      <c r="N4" s="7" t="n">
        <v>45707</v>
      </c>
    </row>
    <row r="5">
      <c r="A5" s="6" t="inlineStr">
        <is>
          <t>Caminhonete</t>
        </is>
      </c>
      <c r="B5" s="6" t="inlineStr">
        <is>
          <t xml:space="preserve">L200 - Triton </t>
        </is>
      </c>
      <c r="C5" s="6" t="inlineStr">
        <is>
          <t>TN 31</t>
        </is>
      </c>
      <c r="D5" s="6" t="inlineStr">
        <is>
          <t>SINAL</t>
        </is>
      </c>
      <c r="E5" s="6" t="inlineStr">
        <is>
          <t>CKS</t>
        </is>
      </c>
      <c r="F5" s="6" t="inlineStr">
        <is>
          <t>RXG6G10</t>
        </is>
      </c>
      <c r="G5" s="6" t="inlineStr">
        <is>
          <t>CARAJÁS</t>
        </is>
      </c>
      <c r="H5" s="6" t="inlineStr">
        <is>
          <t>Lucas</t>
        </is>
      </c>
      <c r="I5" s="7" t="n">
        <v>45695</v>
      </c>
      <c r="J5" s="13" t="n">
        <v>49194</v>
      </c>
      <c r="K5" s="13" t="n">
        <v>50001</v>
      </c>
      <c r="L5" s="7" t="n">
        <v>45698</v>
      </c>
      <c r="M5" s="7" t="n">
        <v>45716</v>
      </c>
      <c r="N5" s="7" t="n">
        <v>45705</v>
      </c>
    </row>
    <row r="6">
      <c r="A6" s="6" t="inlineStr">
        <is>
          <t>Caminhonete</t>
        </is>
      </c>
      <c r="B6" s="6" t="inlineStr">
        <is>
          <t xml:space="preserve">FORD RANGER </t>
        </is>
      </c>
      <c r="C6" s="6" t="inlineStr">
        <is>
          <t>TN 72</t>
        </is>
      </c>
      <c r="D6" s="6" t="inlineStr">
        <is>
          <t>Sonda</t>
        </is>
      </c>
      <c r="E6" s="6" t="inlineStr">
        <is>
          <t>CKS</t>
        </is>
      </c>
      <c r="F6" s="6" t="inlineStr">
        <is>
          <t>FXD9A18</t>
        </is>
      </c>
      <c r="G6" s="6" t="inlineStr">
        <is>
          <t>CARAJÁS</t>
        </is>
      </c>
      <c r="H6" s="6" t="inlineStr">
        <is>
          <t>RAIMUNDO CHARLES</t>
        </is>
      </c>
      <c r="I6" s="7" t="n">
        <v>45695</v>
      </c>
      <c r="J6" s="13" t="n">
        <v>83172</v>
      </c>
      <c r="K6" s="13" t="n">
        <v>84083</v>
      </c>
      <c r="L6" s="7" t="n"/>
      <c r="M6" s="7" t="n">
        <v>45835</v>
      </c>
      <c r="N6" s="7" t="n">
        <v>45706</v>
      </c>
    </row>
    <row r="7">
      <c r="A7" s="6" t="inlineStr">
        <is>
          <t>Caminhonete</t>
        </is>
      </c>
      <c r="B7" s="11" t="inlineStr">
        <is>
          <t>NISSAN FRONTIER</t>
        </is>
      </c>
      <c r="C7" s="6" t="inlineStr">
        <is>
          <t>TN 03</t>
        </is>
      </c>
      <c r="D7" s="6" t="inlineStr">
        <is>
          <t>SINAL</t>
        </is>
      </c>
      <c r="E7" s="6" t="inlineStr">
        <is>
          <t>CKS</t>
        </is>
      </c>
      <c r="F7" s="6" t="inlineStr">
        <is>
          <t>RXD1B51</t>
        </is>
      </c>
      <c r="G7" s="6" t="inlineStr">
        <is>
          <t>CARAJÁS</t>
        </is>
      </c>
      <c r="H7" s="6" t="inlineStr">
        <is>
          <t>Lucas</t>
        </is>
      </c>
      <c r="I7" s="7" t="n">
        <v>45695</v>
      </c>
      <c r="J7" s="13" t="n">
        <v>24948</v>
      </c>
      <c r="K7" s="13" t="n">
        <v>25837</v>
      </c>
      <c r="L7" s="7" t="n">
        <v>45700</v>
      </c>
      <c r="M7" s="7" t="n">
        <v>45723</v>
      </c>
      <c r="N7" s="7" t="n">
        <v>45707</v>
      </c>
    </row>
    <row r="8">
      <c r="A8" s="295" t="inlineStr">
        <is>
          <t>Veículo Leve</t>
        </is>
      </c>
      <c r="B8" s="295" t="inlineStr">
        <is>
          <t>JEEP RENEGADE</t>
        </is>
      </c>
      <c r="C8" s="295" t="inlineStr">
        <is>
          <t>TN 02</t>
        </is>
      </c>
      <c r="D8" s="295" t="inlineStr">
        <is>
          <t>LOCALIZA</t>
        </is>
      </c>
      <c r="E8" s="295" t="inlineStr">
        <is>
          <t>CKS</t>
        </is>
      </c>
      <c r="F8" s="295" t="inlineStr">
        <is>
          <t>SHN4H64</t>
        </is>
      </c>
      <c r="G8" s="295" t="inlineStr">
        <is>
          <t>CARAJÁS</t>
        </is>
      </c>
      <c r="H8" s="295" t="inlineStr">
        <is>
          <t>Ciara</t>
        </is>
      </c>
      <c r="I8" s="30" t="n">
        <v>45695</v>
      </c>
      <c r="J8" s="31" t="n">
        <v>37094</v>
      </c>
      <c r="K8" s="31" t="n"/>
      <c r="L8" s="30" t="n">
        <v>45688</v>
      </c>
      <c r="M8" s="30" t="n">
        <v>45889</v>
      </c>
      <c r="N8" s="30" t="n"/>
    </row>
    <row r="9">
      <c r="A9" s="298" t="inlineStr">
        <is>
          <t>Caminhonete</t>
        </is>
      </c>
      <c r="B9" s="3" t="inlineStr">
        <is>
          <t>NISSAN FRONTIER</t>
        </is>
      </c>
      <c r="C9" s="298" t="inlineStr">
        <is>
          <t>TN 74</t>
        </is>
      </c>
      <c r="D9" s="298" t="inlineStr">
        <is>
          <t>SINAL</t>
        </is>
      </c>
      <c r="E9" s="298" t="inlineStr">
        <is>
          <t>CKS</t>
        </is>
      </c>
      <c r="F9" s="298" t="inlineStr">
        <is>
          <t>RXD1B11</t>
        </is>
      </c>
      <c r="G9" s="298" t="inlineStr">
        <is>
          <t>CARAJÁS</t>
        </is>
      </c>
      <c r="H9" s="40" t="inlineStr">
        <is>
          <t>WEMERSON SILVA</t>
        </is>
      </c>
      <c r="I9" s="7" t="n">
        <v>45695</v>
      </c>
      <c r="J9" s="18" t="n">
        <v>37820</v>
      </c>
      <c r="K9" s="18" t="n">
        <v>38582</v>
      </c>
      <c r="L9" s="7" t="n">
        <v>45702</v>
      </c>
      <c r="M9" s="17" t="n">
        <v>45737</v>
      </c>
      <c r="N9" s="7" t="n">
        <v>45707</v>
      </c>
    </row>
    <row r="10">
      <c r="A10" s="6" t="inlineStr">
        <is>
          <t>Caminhonete</t>
        </is>
      </c>
      <c r="B10" s="11" t="inlineStr">
        <is>
          <t>NISSAN FRONTIER</t>
        </is>
      </c>
      <c r="C10" s="6" t="inlineStr">
        <is>
          <t>TN 75</t>
        </is>
      </c>
      <c r="D10" s="6" t="inlineStr">
        <is>
          <t>SINAL</t>
        </is>
      </c>
      <c r="E10" s="6" t="inlineStr">
        <is>
          <t>CKS</t>
        </is>
      </c>
      <c r="F10" s="6" t="inlineStr">
        <is>
          <t>RXB4A21</t>
        </is>
      </c>
      <c r="G10" s="6" t="inlineStr">
        <is>
          <t>CARAJÁS</t>
        </is>
      </c>
      <c r="H10" s="41" t="inlineStr">
        <is>
          <t>JANDERSON COSTA</t>
        </is>
      </c>
      <c r="I10" s="7" t="n">
        <v>45695</v>
      </c>
      <c r="J10" s="13" t="n">
        <v>75808</v>
      </c>
      <c r="K10" s="13" t="n">
        <v>76233</v>
      </c>
      <c r="L10" s="7" t="n">
        <v>45699</v>
      </c>
      <c r="M10" s="7" t="n">
        <v>45716</v>
      </c>
      <c r="N10" s="7" t="n">
        <v>45705</v>
      </c>
    </row>
    <row r="11">
      <c r="A11" s="6" t="inlineStr">
        <is>
          <t>Caminhonete</t>
        </is>
      </c>
      <c r="B11" s="11" t="inlineStr">
        <is>
          <t>NISSAN FRONTIER</t>
        </is>
      </c>
      <c r="C11" s="6" t="inlineStr">
        <is>
          <t>TN 76</t>
        </is>
      </c>
      <c r="D11" s="6" t="inlineStr">
        <is>
          <t>SINAL</t>
        </is>
      </c>
      <c r="E11" s="6" t="inlineStr">
        <is>
          <t>CKS</t>
        </is>
      </c>
      <c r="F11" s="6" t="inlineStr">
        <is>
          <t>RXD0C41</t>
        </is>
      </c>
      <c r="G11" s="6" t="inlineStr">
        <is>
          <t>CARAJÁS</t>
        </is>
      </c>
      <c r="H11" s="6" t="inlineStr">
        <is>
          <t>RENAN DEMETRIO</t>
        </is>
      </c>
      <c r="I11" s="7" t="n">
        <v>45695</v>
      </c>
      <c r="J11" s="13" t="n">
        <v>54045</v>
      </c>
      <c r="K11" s="13" t="n">
        <v>54976</v>
      </c>
      <c r="L11" s="7" t="n">
        <v>45702</v>
      </c>
      <c r="M11" s="7" t="n">
        <v>45751</v>
      </c>
      <c r="N11" s="7" t="n">
        <v>45709</v>
      </c>
    </row>
    <row r="12">
      <c r="A12" s="295" t="inlineStr">
        <is>
          <t>Caminhonete</t>
        </is>
      </c>
      <c r="B12" s="295" t="inlineStr">
        <is>
          <t>NISSAN FRONTIER</t>
        </is>
      </c>
      <c r="C12" s="295" t="inlineStr">
        <is>
          <t>TN 04</t>
        </is>
      </c>
      <c r="D12" s="295" t="inlineStr">
        <is>
          <t>SINAL</t>
        </is>
      </c>
      <c r="E12" s="295" t="inlineStr">
        <is>
          <t>CKS</t>
        </is>
      </c>
      <c r="F12" s="295" t="inlineStr">
        <is>
          <t>RXG2A49</t>
        </is>
      </c>
      <c r="G12" s="295" t="inlineStr">
        <is>
          <t>CARAJÁS</t>
        </is>
      </c>
      <c r="H12" s="295" t="inlineStr">
        <is>
          <t>WILLIAN FERNANDO</t>
        </is>
      </c>
      <c r="I12" s="30" t="n">
        <v>45695</v>
      </c>
      <c r="J12" s="31" t="n">
        <v>85030</v>
      </c>
      <c r="K12" s="31" t="n"/>
      <c r="L12" s="30" t="n">
        <v>45692</v>
      </c>
      <c r="M12" s="30" t="n">
        <v>45734</v>
      </c>
      <c r="N12" s="30" t="n"/>
    </row>
    <row r="13">
      <c r="A13" s="298" t="inlineStr">
        <is>
          <t>Caminhonete</t>
        </is>
      </c>
      <c r="B13" s="6" t="inlineStr">
        <is>
          <t xml:space="preserve">L200 - Triton </t>
        </is>
      </c>
      <c r="C13" s="298" t="inlineStr">
        <is>
          <t>TN 73</t>
        </is>
      </c>
      <c r="D13" s="298" t="inlineStr">
        <is>
          <t>SINAL</t>
        </is>
      </c>
      <c r="E13" s="298" t="inlineStr">
        <is>
          <t>CKS</t>
        </is>
      </c>
      <c r="F13" s="298" t="inlineStr">
        <is>
          <t>RXC2D41</t>
        </is>
      </c>
      <c r="G13" s="298" t="inlineStr">
        <is>
          <t>CARAJÁS</t>
        </is>
      </c>
      <c r="H13" s="298" t="inlineStr">
        <is>
          <t>RAFAEL Cruz</t>
        </is>
      </c>
      <c r="I13" s="7" t="n">
        <v>45695</v>
      </c>
      <c r="J13" s="13" t="n">
        <v>36497</v>
      </c>
      <c r="K13" s="13" t="n">
        <v>37053</v>
      </c>
      <c r="L13" s="7" t="n"/>
      <c r="M13" s="4" t="n">
        <v>45751</v>
      </c>
      <c r="N13" s="7" t="n">
        <v>45705</v>
      </c>
    </row>
    <row r="14">
      <c r="A14" s="292" t="inlineStr">
        <is>
          <t>Veículos - Novos Cadastros</t>
        </is>
      </c>
      <c r="B14" s="323" t="n"/>
      <c r="C14" s="323" t="n"/>
      <c r="D14" s="323" t="n"/>
      <c r="E14" s="323" t="n"/>
      <c r="F14" s="323" t="n"/>
      <c r="G14" s="323" t="n"/>
      <c r="H14" s="323" t="n"/>
      <c r="I14" s="323" t="n"/>
      <c r="J14" s="323" t="n"/>
      <c r="K14" s="323" t="n"/>
      <c r="L14" s="323" t="n"/>
      <c r="M14" s="323" t="n"/>
      <c r="N14" s="323" t="n"/>
    </row>
    <row r="15">
      <c r="A15" s="1" t="inlineStr">
        <is>
          <t>Tipo</t>
        </is>
      </c>
      <c r="B15" s="1" t="inlineStr">
        <is>
          <t xml:space="preserve">Modelos </t>
        </is>
      </c>
      <c r="C15" s="1" t="inlineStr">
        <is>
          <t>Tag</t>
        </is>
      </c>
      <c r="D15" s="1" t="inlineStr">
        <is>
          <t>Locadora</t>
        </is>
      </c>
      <c r="E15" s="1" t="inlineStr">
        <is>
          <t>Localidade</t>
        </is>
      </c>
      <c r="F15" s="1" t="inlineStr">
        <is>
          <t>Placa</t>
        </is>
      </c>
      <c r="G15" s="1" t="inlineStr">
        <is>
          <t>SSO</t>
        </is>
      </c>
      <c r="H15" s="1" t="inlineStr">
        <is>
          <t>Condutores</t>
        </is>
      </c>
      <c r="I15" s="1" t="inlineStr">
        <is>
          <t>SEMANA 01</t>
        </is>
      </c>
      <c r="J15" s="1" t="n"/>
      <c r="K15" s="1" t="inlineStr">
        <is>
          <t xml:space="preserve">KM  </t>
        </is>
      </c>
      <c r="L15" s="1" t="n"/>
      <c r="M15" s="2" t="inlineStr">
        <is>
          <t xml:space="preserve">Validade </t>
        </is>
      </c>
      <c r="N15" s="38" t="inlineStr">
        <is>
          <t>Prox. Lavagem</t>
        </is>
      </c>
    </row>
    <row r="16"/>
    <row r="17"/>
    <row r="18"/>
    <row r="19">
      <c r="E19" s="295" t="inlineStr">
        <is>
          <t>TN 04 DEVOLVIDA PRA SINAL 13/02/2025</t>
        </is>
      </c>
      <c r="F19" s="323" t="n"/>
      <c r="G19" s="323" t="n"/>
      <c r="H19" s="323" t="n"/>
      <c r="I19" s="324" t="n"/>
    </row>
    <row r="20">
      <c r="E20" s="295" t="inlineStr">
        <is>
          <t>TN 02 DEVOLVIDA PRA LOCALIZA 07/02/2025</t>
        </is>
      </c>
      <c r="F20" s="323" t="n"/>
      <c r="G20" s="323" t="n"/>
      <c r="H20" s="323" t="n"/>
      <c r="I20" s="324" t="n"/>
    </row>
    <row r="21"/>
    <row r="22">
      <c r="K22" s="1" t="inlineStr">
        <is>
          <t>Tag</t>
        </is>
      </c>
      <c r="L22" s="2" t="inlineStr">
        <is>
          <t xml:space="preserve">Validade </t>
        </is>
      </c>
    </row>
    <row r="23">
      <c r="K23" s="6" t="inlineStr">
        <is>
          <t>TN 03</t>
        </is>
      </c>
      <c r="L23" s="7" t="n">
        <v>45723</v>
      </c>
    </row>
    <row r="24">
      <c r="K24" s="6" t="inlineStr">
        <is>
          <t>TN 75</t>
        </is>
      </c>
      <c r="L24" s="7" t="n">
        <v>45716</v>
      </c>
    </row>
    <row r="25">
      <c r="K25" s="6" t="inlineStr">
        <is>
          <t>TN 31</t>
        </is>
      </c>
      <c r="L25" s="7" t="n">
        <v>45716</v>
      </c>
    </row>
  </sheetData>
  <mergeCells count="3">
    <mergeCell ref="E20:I20"/>
    <mergeCell ref="E19:I19"/>
    <mergeCell ref="A14:N14"/>
  </mergeCells>
  <pageMargins left="0.511811024" right="0.511811024" top="0.787401575" bottom="0.787401575" header="0.31496062" footer="0.31496062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9"/>
  <sheetViews>
    <sheetView topLeftCell="A3" zoomScale="90" zoomScaleNormal="90" workbookViewId="0">
      <selection activeCell="G23" sqref="G23"/>
    </sheetView>
  </sheetViews>
  <sheetFormatPr baseColWidth="8" defaultRowHeight="14.3"/>
  <cols>
    <col width="14.5" customWidth="1" min="1" max="1"/>
    <col width="18.5" bestFit="1" customWidth="1" min="2" max="2"/>
    <col width="8.5" customWidth="1" min="3" max="3"/>
    <col width="12.5" customWidth="1" min="4" max="4"/>
    <col width="11.5" customWidth="1" min="5" max="5"/>
    <col width="12.5" customWidth="1" min="6" max="7"/>
    <col width="18.5" bestFit="1" customWidth="1" min="8" max="8"/>
    <col width="20.5" customWidth="1" min="9" max="10"/>
    <col width="17.5" customWidth="1" min="11" max="11"/>
    <col width="12.875" customWidth="1" min="12" max="12"/>
    <col width="12.125" customWidth="1" min="14" max="14"/>
  </cols>
  <sheetData>
    <row r="1"/>
    <row r="2" ht="41.45" customHeight="1">
      <c r="A2" s="8" t="inlineStr">
        <is>
          <t xml:space="preserve">CONTROLE DE KM - COORDENAÇÃO CIARA ZANELATO 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</row>
    <row r="3" ht="27.7" customHeight="1">
      <c r="A3" s="290" t="inlineStr">
        <is>
          <t xml:space="preserve">Veículos Cadastrados </t>
        </is>
      </c>
      <c r="B3" s="321" t="n"/>
      <c r="C3" s="321" t="n"/>
      <c r="D3" s="321" t="n"/>
      <c r="E3" s="321" t="n"/>
      <c r="F3" s="321" t="n"/>
      <c r="G3" s="321" t="n"/>
      <c r="H3" s="321" t="n"/>
      <c r="I3" s="321" t="n"/>
      <c r="J3" s="321" t="n"/>
      <c r="K3" s="321" t="n"/>
      <c r="L3" s="321" t="n"/>
    </row>
    <row r="4" ht="18" customHeight="1">
      <c r="A4" s="1" t="inlineStr">
        <is>
          <t>Tipo</t>
        </is>
      </c>
      <c r="B4" s="1" t="inlineStr">
        <is>
          <t xml:space="preserve">Modelos </t>
        </is>
      </c>
      <c r="C4" s="1" t="inlineStr">
        <is>
          <t>Tag</t>
        </is>
      </c>
      <c r="D4" s="1" t="inlineStr">
        <is>
          <t>Locadora</t>
        </is>
      </c>
      <c r="E4" s="1" t="inlineStr">
        <is>
          <t>Localidade</t>
        </is>
      </c>
      <c r="F4" s="1" t="inlineStr">
        <is>
          <t>Placa</t>
        </is>
      </c>
      <c r="G4" s="1" t="inlineStr">
        <is>
          <t>SSO</t>
        </is>
      </c>
      <c r="H4" s="1" t="inlineStr">
        <is>
          <t>Condutores</t>
        </is>
      </c>
      <c r="I4" s="1" t="inlineStr">
        <is>
          <t>SEMANA 02</t>
        </is>
      </c>
      <c r="J4" s="1" t="inlineStr">
        <is>
          <t>KM ANTERIOR</t>
        </is>
      </c>
      <c r="K4" s="1" t="inlineStr">
        <is>
          <t>KM  ATUAL</t>
        </is>
      </c>
      <c r="L4" s="2" t="inlineStr">
        <is>
          <t xml:space="preserve">Validade </t>
        </is>
      </c>
    </row>
    <row r="5" ht="14.1" customHeight="1">
      <c r="A5" s="3" t="inlineStr">
        <is>
          <t>Caminhonete</t>
        </is>
      </c>
      <c r="B5" s="298" t="inlineStr">
        <is>
          <t>CHEVROLET S10</t>
        </is>
      </c>
      <c r="C5" s="3" t="inlineStr">
        <is>
          <t>TN 29</t>
        </is>
      </c>
      <c r="D5" s="3" t="inlineStr">
        <is>
          <t>Sonda</t>
        </is>
      </c>
      <c r="E5" s="3" t="inlineStr">
        <is>
          <t>CKS</t>
        </is>
      </c>
      <c r="F5" s="3" t="inlineStr">
        <is>
          <t>FXR0F35</t>
        </is>
      </c>
      <c r="G5" s="3" t="inlineStr">
        <is>
          <t>CARAJÁS</t>
        </is>
      </c>
      <c r="H5" s="10" t="inlineStr">
        <is>
          <t>JOÃO TAVARES</t>
        </is>
      </c>
      <c r="I5" s="7" t="n">
        <v>45681</v>
      </c>
      <c r="J5" s="13" t="n">
        <v>143532</v>
      </c>
      <c r="K5" s="13" t="n">
        <v>144419</v>
      </c>
      <c r="L5" s="4" t="n">
        <v>45799</v>
      </c>
    </row>
    <row r="6">
      <c r="A6" s="11" t="inlineStr">
        <is>
          <t>Caminhonete</t>
        </is>
      </c>
      <c r="B6" s="6" t="inlineStr">
        <is>
          <t xml:space="preserve">L200 - Triton </t>
        </is>
      </c>
      <c r="C6" s="11" t="inlineStr">
        <is>
          <t>TN 31</t>
        </is>
      </c>
      <c r="D6" s="11" t="inlineStr">
        <is>
          <t>SINAL</t>
        </is>
      </c>
      <c r="E6" s="11" t="inlineStr">
        <is>
          <t>CKS</t>
        </is>
      </c>
      <c r="F6" s="3" t="inlineStr">
        <is>
          <t>RXG6G10</t>
        </is>
      </c>
      <c r="G6" s="11" t="inlineStr">
        <is>
          <t>CARAJÁS</t>
        </is>
      </c>
      <c r="H6" s="12" t="inlineStr">
        <is>
          <t>CELIMARIO</t>
        </is>
      </c>
      <c r="I6" s="7" t="n">
        <v>45681</v>
      </c>
      <c r="J6" s="13" t="n">
        <v>48634</v>
      </c>
      <c r="K6" s="13" t="n">
        <v>49194</v>
      </c>
      <c r="L6" s="7" t="n">
        <v>45716</v>
      </c>
      <c r="N6" t="n">
        <v>2</v>
      </c>
    </row>
    <row r="7">
      <c r="A7" s="6" t="inlineStr">
        <is>
          <t>Caminhonete</t>
        </is>
      </c>
      <c r="B7" s="6" t="inlineStr">
        <is>
          <t xml:space="preserve">FORD RANGER </t>
        </is>
      </c>
      <c r="C7" s="6" t="inlineStr">
        <is>
          <t>TN 72</t>
        </is>
      </c>
      <c r="D7" s="6" t="inlineStr">
        <is>
          <t>Sonda</t>
        </is>
      </c>
      <c r="E7" s="6" t="inlineStr">
        <is>
          <t>CKS</t>
        </is>
      </c>
      <c r="F7" s="6" t="inlineStr">
        <is>
          <t>FXD9A18</t>
        </is>
      </c>
      <c r="G7" s="6" t="inlineStr">
        <is>
          <t>CARAJÁS</t>
        </is>
      </c>
      <c r="H7" s="6" t="inlineStr">
        <is>
          <t>RAIMUNDO CHARLES</t>
        </is>
      </c>
      <c r="I7" s="7" t="n">
        <v>45681</v>
      </c>
      <c r="J7" s="13" t="n">
        <v>80833</v>
      </c>
      <c r="K7" s="13" t="n">
        <v>81449</v>
      </c>
      <c r="L7" s="7" t="n">
        <v>45835</v>
      </c>
    </row>
    <row r="8" customFormat="1" s="19">
      <c r="A8" s="3" t="inlineStr">
        <is>
          <t>Caminhonete</t>
        </is>
      </c>
      <c r="B8" s="3" t="inlineStr">
        <is>
          <t>NISSAN FRONTIER</t>
        </is>
      </c>
      <c r="C8" s="3" t="inlineStr">
        <is>
          <t>TN 03</t>
        </is>
      </c>
      <c r="D8" s="3" t="inlineStr">
        <is>
          <t>SINAL</t>
        </is>
      </c>
      <c r="E8" s="3" t="inlineStr">
        <is>
          <t>CKS</t>
        </is>
      </c>
      <c r="F8" s="3" t="inlineStr">
        <is>
          <t>RXD1B51</t>
        </is>
      </c>
      <c r="G8" s="3" t="inlineStr">
        <is>
          <t>CARAJÁS</t>
        </is>
      </c>
      <c r="H8" s="3" t="inlineStr">
        <is>
          <t>VALE</t>
        </is>
      </c>
      <c r="I8" s="7" t="n">
        <v>45681</v>
      </c>
      <c r="J8" s="18" t="n">
        <v>23572</v>
      </c>
      <c r="K8" s="18" t="n">
        <v>24382</v>
      </c>
      <c r="L8" s="17" t="n">
        <v>45723</v>
      </c>
    </row>
    <row r="9" customFormat="1" s="32">
      <c r="A9" s="28" t="inlineStr">
        <is>
          <t>Veículo Leve</t>
        </is>
      </c>
      <c r="B9" s="295" t="inlineStr">
        <is>
          <t>JEEP RENEGADE</t>
        </is>
      </c>
      <c r="C9" s="295" t="inlineStr">
        <is>
          <t>TN 02</t>
        </is>
      </c>
      <c r="D9" s="295" t="inlineStr">
        <is>
          <t>LOCALIZA</t>
        </is>
      </c>
      <c r="E9" s="295" t="inlineStr">
        <is>
          <t>CKS</t>
        </is>
      </c>
      <c r="F9" s="295" t="inlineStr">
        <is>
          <t>SHN4H64</t>
        </is>
      </c>
      <c r="G9" s="295" t="inlineStr">
        <is>
          <t>CARAJÁS</t>
        </is>
      </c>
      <c r="H9" s="28" t="inlineStr">
        <is>
          <t xml:space="preserve">MELQUISEDEC </t>
        </is>
      </c>
      <c r="I9" s="30" t="n">
        <v>45674</v>
      </c>
      <c r="J9" s="31" t="n">
        <v>36236</v>
      </c>
      <c r="K9" s="31" t="n"/>
      <c r="L9" s="30" t="n">
        <v>45889</v>
      </c>
      <c r="M9" s="32" t="inlineStr">
        <is>
          <t xml:space="preserve">veiculo em Manutenção  </t>
        </is>
      </c>
    </row>
    <row r="10" customFormat="1" s="19">
      <c r="A10" s="298" t="inlineStr">
        <is>
          <t>Caminhonete</t>
        </is>
      </c>
      <c r="B10" s="3" t="inlineStr">
        <is>
          <t>NISSAN FRONTIER</t>
        </is>
      </c>
      <c r="C10" s="298" t="inlineStr">
        <is>
          <t>TN 74</t>
        </is>
      </c>
      <c r="D10" s="298" t="inlineStr">
        <is>
          <t>SINAL</t>
        </is>
      </c>
      <c r="E10" s="298" t="inlineStr">
        <is>
          <t>CKS</t>
        </is>
      </c>
      <c r="F10" s="298" t="inlineStr">
        <is>
          <t>RXD1B11</t>
        </is>
      </c>
      <c r="G10" s="298" t="inlineStr">
        <is>
          <t>CARAJÁS</t>
        </is>
      </c>
      <c r="H10" s="298" t="inlineStr">
        <is>
          <t>ERICK DA MATTA</t>
        </is>
      </c>
      <c r="I10" s="17" t="n">
        <v>45681</v>
      </c>
      <c r="J10" s="31" t="inlineStr">
        <is>
          <t>Manutencao</t>
        </is>
      </c>
      <c r="K10" s="18" t="n">
        <v>35910</v>
      </c>
      <c r="L10" s="17" t="n">
        <v>45737</v>
      </c>
    </row>
    <row r="11">
      <c r="A11" s="6" t="inlineStr">
        <is>
          <t>Caminhonete</t>
        </is>
      </c>
      <c r="B11" s="11" t="inlineStr">
        <is>
          <t>NISSAN FRONTIER</t>
        </is>
      </c>
      <c r="C11" s="6" t="inlineStr">
        <is>
          <t>TN 75</t>
        </is>
      </c>
      <c r="D11" s="6" t="inlineStr">
        <is>
          <t>SINAL</t>
        </is>
      </c>
      <c r="E11" s="6" t="inlineStr">
        <is>
          <t>CKS</t>
        </is>
      </c>
      <c r="F11" s="298" t="inlineStr">
        <is>
          <t>RXB4A21</t>
        </is>
      </c>
      <c r="G11" s="6" t="inlineStr">
        <is>
          <t>CARAJÁS</t>
        </is>
      </c>
      <c r="H11" s="6" t="inlineStr">
        <is>
          <t>JANDERSON COSTA</t>
        </is>
      </c>
      <c r="I11" s="7" t="n">
        <v>45681</v>
      </c>
      <c r="J11" s="13" t="n">
        <v>74047</v>
      </c>
      <c r="K11" s="13" t="n">
        <v>74613</v>
      </c>
      <c r="L11" s="7" t="n">
        <v>45716</v>
      </c>
    </row>
    <row r="12">
      <c r="A12" s="6" t="inlineStr">
        <is>
          <t>Caminhonete</t>
        </is>
      </c>
      <c r="B12" s="11" t="inlineStr">
        <is>
          <t>NISSAN FRONTIER</t>
        </is>
      </c>
      <c r="C12" s="6" t="inlineStr">
        <is>
          <t>TN 76</t>
        </is>
      </c>
      <c r="D12" s="6" t="inlineStr">
        <is>
          <t>SINAL</t>
        </is>
      </c>
      <c r="E12" s="6" t="inlineStr">
        <is>
          <t>CKS</t>
        </is>
      </c>
      <c r="F12" s="6" t="inlineStr">
        <is>
          <t>RXD0C41</t>
        </is>
      </c>
      <c r="G12" s="6" t="inlineStr">
        <is>
          <t>CARAJÁS</t>
        </is>
      </c>
      <c r="H12" s="6" t="inlineStr">
        <is>
          <t>JANDERSON COSTA</t>
        </is>
      </c>
      <c r="I12" s="7" t="n">
        <v>45681</v>
      </c>
      <c r="J12" s="13" t="n">
        <v>52304</v>
      </c>
      <c r="K12" s="13" t="n">
        <v>52935</v>
      </c>
      <c r="L12" s="7" t="n">
        <v>45751</v>
      </c>
    </row>
    <row r="13" customFormat="1" s="19">
      <c r="A13" s="298" t="inlineStr">
        <is>
          <t>Caminhonete</t>
        </is>
      </c>
      <c r="B13" s="3" t="inlineStr">
        <is>
          <t>NISSAN FRONTIER</t>
        </is>
      </c>
      <c r="C13" s="298" t="inlineStr">
        <is>
          <t>TN 04</t>
        </is>
      </c>
      <c r="D13" s="298" t="inlineStr">
        <is>
          <t>SINAL</t>
        </is>
      </c>
      <c r="E13" s="298" t="inlineStr">
        <is>
          <t>CKS</t>
        </is>
      </c>
      <c r="F13" s="298" t="inlineStr">
        <is>
          <t>RXG2A49</t>
        </is>
      </c>
      <c r="G13" s="298" t="inlineStr">
        <is>
          <t>CARAJÁS</t>
        </is>
      </c>
      <c r="H13" s="298" t="inlineStr">
        <is>
          <t>RENATO RAMALHO</t>
        </is>
      </c>
      <c r="I13" s="17" t="n">
        <v>45681</v>
      </c>
      <c r="J13" s="18" t="n">
        <v>84067</v>
      </c>
      <c r="K13" s="18" t="n">
        <v>84180</v>
      </c>
      <c r="L13" s="17" t="n">
        <v>45734</v>
      </c>
    </row>
    <row r="14">
      <c r="A14" s="298" t="inlineStr">
        <is>
          <t>Caminhonete</t>
        </is>
      </c>
      <c r="B14" s="6" t="inlineStr">
        <is>
          <t xml:space="preserve">L200 - Triton </t>
        </is>
      </c>
      <c r="C14" s="298" t="inlineStr">
        <is>
          <t>TN 73</t>
        </is>
      </c>
      <c r="D14" s="298" t="inlineStr">
        <is>
          <t>SINAL</t>
        </is>
      </c>
      <c r="E14" s="298" t="inlineStr">
        <is>
          <t>CKS</t>
        </is>
      </c>
      <c r="F14" s="298" t="inlineStr">
        <is>
          <t>RXC2D41</t>
        </is>
      </c>
      <c r="G14" s="298" t="inlineStr">
        <is>
          <t>CARAJÁS</t>
        </is>
      </c>
      <c r="H14" s="298" t="inlineStr">
        <is>
          <t>WALDECYR CICERO</t>
        </is>
      </c>
      <c r="I14" s="7" t="n">
        <v>45681</v>
      </c>
      <c r="J14" s="13" t="n">
        <v>35187</v>
      </c>
      <c r="K14" s="13" t="n">
        <v>35628</v>
      </c>
      <c r="L14" s="4" t="n">
        <v>45751</v>
      </c>
    </row>
    <row r="15">
      <c r="A15" s="322" t="inlineStr">
        <is>
          <t>Veículos - Novos Cadastros</t>
        </is>
      </c>
      <c r="B15" s="323" t="n"/>
      <c r="C15" s="323" t="n"/>
      <c r="D15" s="323" t="n"/>
      <c r="E15" s="323" t="n"/>
      <c r="F15" s="323" t="n"/>
      <c r="G15" s="323" t="n"/>
      <c r="H15" s="323" t="n"/>
      <c r="I15" s="323" t="n"/>
      <c r="J15" s="323" t="n"/>
      <c r="K15" s="323" t="n"/>
      <c r="L15" s="324" t="n"/>
    </row>
    <row r="16">
      <c r="A16" s="1" t="inlineStr">
        <is>
          <t>Tipo</t>
        </is>
      </c>
      <c r="B16" s="1" t="inlineStr">
        <is>
          <t xml:space="preserve">Modelos </t>
        </is>
      </c>
      <c r="C16" s="1" t="inlineStr">
        <is>
          <t>Tag</t>
        </is>
      </c>
      <c r="D16" s="1" t="inlineStr">
        <is>
          <t>Locadora</t>
        </is>
      </c>
      <c r="E16" s="1" t="inlineStr">
        <is>
          <t>Localidade</t>
        </is>
      </c>
      <c r="F16" s="1" t="inlineStr">
        <is>
          <t>Placa</t>
        </is>
      </c>
      <c r="G16" s="1" t="inlineStr">
        <is>
          <t>SSO</t>
        </is>
      </c>
      <c r="H16" s="1" t="inlineStr">
        <is>
          <t>Condutores</t>
        </is>
      </c>
      <c r="I16" s="1" t="inlineStr">
        <is>
          <t>SEMANA 01</t>
        </is>
      </c>
      <c r="J16" s="1" t="n"/>
      <c r="K16" s="1" t="inlineStr">
        <is>
          <t xml:space="preserve">KM  </t>
        </is>
      </c>
      <c r="L16" s="2" t="inlineStr">
        <is>
          <t xml:space="preserve">Validade </t>
        </is>
      </c>
    </row>
    <row r="17"/>
    <row r="18">
      <c r="C18" s="298" t="inlineStr">
        <is>
          <t>TN 73</t>
        </is>
      </c>
      <c r="D18" s="298" t="inlineStr">
        <is>
          <t>SINAL</t>
        </is>
      </c>
      <c r="E18" s="298" t="inlineStr">
        <is>
          <t>CKS</t>
        </is>
      </c>
      <c r="F18" s="298" t="inlineStr">
        <is>
          <t>RXC2D41</t>
        </is>
      </c>
      <c r="G18" s="26" t="inlineStr">
        <is>
          <t xml:space="preserve"> Carro em Manutenção desde :10/01</t>
        </is>
      </c>
    </row>
    <row r="19">
      <c r="C19" s="6" t="inlineStr">
        <is>
          <t>TN 75</t>
        </is>
      </c>
      <c r="D19" s="6" t="inlineStr">
        <is>
          <t>SINAL</t>
        </is>
      </c>
      <c r="E19" s="6" t="inlineStr">
        <is>
          <t>CKS</t>
        </is>
      </c>
      <c r="F19" s="298" t="inlineStr">
        <is>
          <t>RXB4A21</t>
        </is>
      </c>
      <c r="H19" s="27" t="inlineStr">
        <is>
          <t>veiculo em Manutenção desde 09/01</t>
        </is>
      </c>
    </row>
  </sheetData>
  <mergeCells count="2">
    <mergeCell ref="A3:L3"/>
    <mergeCell ref="A15:L15"/>
  </mergeCells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0"/>
  <sheetViews>
    <sheetView zoomScale="90" zoomScaleNormal="90" workbookViewId="0">
      <selection activeCell="F7" sqref="F7"/>
    </sheetView>
  </sheetViews>
  <sheetFormatPr baseColWidth="8" defaultRowHeight="14.3"/>
  <cols>
    <col width="14.5" customWidth="1" min="1" max="1"/>
    <col width="18.5" bestFit="1" customWidth="1" min="2" max="2"/>
    <col width="8.5" customWidth="1" min="3" max="3"/>
    <col width="12.5" customWidth="1" min="4" max="4"/>
    <col width="11.5" customWidth="1" min="5" max="5"/>
    <col width="12.5" customWidth="1" min="6" max="7"/>
    <col width="18.5" bestFit="1" customWidth="1" min="8" max="8"/>
    <col hidden="1" width="20.5" customWidth="1" min="9" max="9"/>
    <col width="12.875" bestFit="1" customWidth="1" min="10" max="10"/>
    <col width="17.5" bestFit="1" customWidth="1" min="11" max="11"/>
    <col width="10.5" bestFit="1" customWidth="1" min="12" max="12"/>
    <col width="17.5" bestFit="1" customWidth="1" min="13" max="13"/>
    <col width="19" customWidth="1" min="14" max="14"/>
    <col width="12.125" customWidth="1" min="15" max="15"/>
  </cols>
  <sheetData>
    <row r="1"/>
    <row r="2" ht="41.45" customHeight="1">
      <c r="A2" s="8" t="inlineStr">
        <is>
          <t xml:space="preserve">CONTROLE DE KM - COORDENAÇÃO CIARA ZANELATO 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 ht="27.7" customHeight="1">
      <c r="A3" s="290" t="inlineStr">
        <is>
          <t xml:space="preserve">Veículos Cadastrados </t>
        </is>
      </c>
      <c r="B3" s="321" t="n"/>
      <c r="C3" s="321" t="n"/>
      <c r="D3" s="321" t="n"/>
      <c r="E3" s="321" t="n"/>
      <c r="F3" s="321" t="n"/>
      <c r="G3" s="321" t="n"/>
      <c r="H3" s="321" t="n"/>
      <c r="I3" s="321" t="n"/>
      <c r="J3" s="321" t="n"/>
      <c r="K3" s="321" t="n"/>
      <c r="L3" s="321" t="n"/>
      <c r="M3" s="321" t="n"/>
    </row>
    <row r="4" ht="18" customHeight="1">
      <c r="A4" s="1" t="inlineStr">
        <is>
          <t>Tipo</t>
        </is>
      </c>
      <c r="B4" s="1" t="inlineStr">
        <is>
          <t xml:space="preserve">Modelos </t>
        </is>
      </c>
      <c r="C4" s="1" t="inlineStr">
        <is>
          <t>Tag</t>
        </is>
      </c>
      <c r="D4" s="1" t="inlineStr">
        <is>
          <t>Locadora</t>
        </is>
      </c>
      <c r="E4" s="1" t="inlineStr">
        <is>
          <t>Localidade</t>
        </is>
      </c>
      <c r="F4" s="1" t="inlineStr">
        <is>
          <t>Placa</t>
        </is>
      </c>
      <c r="G4" s="1" t="inlineStr">
        <is>
          <t>SSO</t>
        </is>
      </c>
      <c r="H4" s="1" t="inlineStr">
        <is>
          <t>Condutores</t>
        </is>
      </c>
      <c r="I4" s="1" t="inlineStr">
        <is>
          <t>SEMANA 02</t>
        </is>
      </c>
      <c r="J4" s="1" t="inlineStr">
        <is>
          <t>KM ANTERIOR</t>
        </is>
      </c>
      <c r="K4" s="1" t="inlineStr">
        <is>
          <t>KM  ATUAL</t>
        </is>
      </c>
      <c r="L4" s="1" t="inlineStr">
        <is>
          <t>Lavagem</t>
        </is>
      </c>
      <c r="M4" s="2" t="inlineStr">
        <is>
          <t xml:space="preserve">Validade </t>
        </is>
      </c>
    </row>
    <row r="5" ht="14.1" customHeight="1">
      <c r="A5" s="3" t="inlineStr">
        <is>
          <t>Caminhonete</t>
        </is>
      </c>
      <c r="B5" s="298" t="inlineStr">
        <is>
          <t>CHEVROLET S10</t>
        </is>
      </c>
      <c r="C5" s="3" t="inlineStr">
        <is>
          <t>TN 29</t>
        </is>
      </c>
      <c r="D5" s="3" t="inlineStr">
        <is>
          <t>Sonda</t>
        </is>
      </c>
      <c r="E5" s="3" t="inlineStr">
        <is>
          <t>CKS</t>
        </is>
      </c>
      <c r="F5" s="3" t="inlineStr">
        <is>
          <t>FXR0F35</t>
        </is>
      </c>
      <c r="G5" s="3" t="inlineStr">
        <is>
          <t>CARAJÁS</t>
        </is>
      </c>
      <c r="H5" s="10" t="inlineStr">
        <is>
          <t>JOÃO TAVARES</t>
        </is>
      </c>
      <c r="I5" s="7" t="n">
        <v>45688</v>
      </c>
      <c r="J5" s="13" t="n">
        <v>144419</v>
      </c>
      <c r="K5" s="13" t="n">
        <v>145252</v>
      </c>
      <c r="L5" s="7" t="n">
        <v>45691</v>
      </c>
      <c r="M5" s="4" t="n">
        <v>45799</v>
      </c>
      <c r="N5" t="inlineStr">
        <is>
          <t>Manutenção  data 30/01</t>
        </is>
      </c>
    </row>
    <row r="6" customFormat="1" s="32">
      <c r="A6" s="295" t="inlineStr">
        <is>
          <t>Caminhonete</t>
        </is>
      </c>
      <c r="B6" s="28" t="inlineStr">
        <is>
          <t xml:space="preserve">L200 - Triton </t>
        </is>
      </c>
      <c r="C6" s="295" t="inlineStr">
        <is>
          <t>TN 31</t>
        </is>
      </c>
      <c r="D6" s="295" t="inlineStr">
        <is>
          <t>SINAL</t>
        </is>
      </c>
      <c r="E6" s="295" t="inlineStr">
        <is>
          <t>CKS</t>
        </is>
      </c>
      <c r="F6" s="295" t="inlineStr">
        <is>
          <t>RXG6G10</t>
        </is>
      </c>
      <c r="G6" s="295" t="inlineStr">
        <is>
          <t>CARAJÁS</t>
        </is>
      </c>
      <c r="H6" s="33" t="inlineStr">
        <is>
          <t>Lucas</t>
        </is>
      </c>
      <c r="I6" s="30" t="n">
        <v>45688</v>
      </c>
      <c r="J6" s="31" t="n">
        <v>49194</v>
      </c>
      <c r="K6" s="31" t="n"/>
      <c r="L6" s="30" t="n">
        <v>45685</v>
      </c>
      <c r="M6" s="30" t="n">
        <v>45716</v>
      </c>
      <c r="N6" s="32" t="inlineStr">
        <is>
          <t>Manutenção  28/01</t>
        </is>
      </c>
      <c r="O6" s="32" t="n">
        <v>2</v>
      </c>
    </row>
    <row r="7">
      <c r="A7" s="6" t="inlineStr">
        <is>
          <t>Caminhonete</t>
        </is>
      </c>
      <c r="B7" s="6" t="inlineStr">
        <is>
          <t xml:space="preserve">FORD RANGER </t>
        </is>
      </c>
      <c r="C7" s="6" t="inlineStr">
        <is>
          <t>TN 72</t>
        </is>
      </c>
      <c r="D7" s="6" t="inlineStr">
        <is>
          <t>Sonda</t>
        </is>
      </c>
      <c r="E7" s="6" t="inlineStr">
        <is>
          <t>CKS</t>
        </is>
      </c>
      <c r="F7" s="6" t="inlineStr">
        <is>
          <t>FXD9A18</t>
        </is>
      </c>
      <c r="G7" s="6" t="inlineStr">
        <is>
          <t>CARAJÁS</t>
        </is>
      </c>
      <c r="H7" s="6" t="inlineStr">
        <is>
          <t>RAIMUNDO CHARLES</t>
        </is>
      </c>
      <c r="I7" s="7" t="n">
        <v>45688</v>
      </c>
      <c r="J7" s="13" t="n">
        <v>81449</v>
      </c>
      <c r="K7" s="13" t="n">
        <v>82349</v>
      </c>
      <c r="L7" s="7" t="n">
        <v>45692</v>
      </c>
      <c r="M7" s="7" t="n">
        <v>45835</v>
      </c>
    </row>
    <row r="8" customFormat="1" s="19">
      <c r="A8" s="3" t="inlineStr">
        <is>
          <t>Caminhonete</t>
        </is>
      </c>
      <c r="B8" s="3" t="inlineStr">
        <is>
          <t>NISSAN FRONTIER</t>
        </is>
      </c>
      <c r="C8" s="3" t="inlineStr">
        <is>
          <t>TN 03</t>
        </is>
      </c>
      <c r="D8" s="3" t="inlineStr">
        <is>
          <t>SINAL</t>
        </is>
      </c>
      <c r="E8" s="3" t="inlineStr">
        <is>
          <t>CKS</t>
        </is>
      </c>
      <c r="F8" s="3" t="inlineStr">
        <is>
          <t>RXD1B51</t>
        </is>
      </c>
      <c r="G8" s="3" t="inlineStr">
        <is>
          <t>CARAJÁS</t>
        </is>
      </c>
      <c r="H8" s="3" t="inlineStr">
        <is>
          <t>Lucas</t>
        </is>
      </c>
      <c r="I8" s="7" t="n">
        <v>45688</v>
      </c>
      <c r="J8" s="18" t="n">
        <v>24382</v>
      </c>
      <c r="K8" s="18" t="n">
        <v>24948</v>
      </c>
      <c r="L8" s="15" t="inlineStr">
        <is>
          <t>x/02/2025</t>
        </is>
      </c>
      <c r="M8" s="17" t="n">
        <v>45723</v>
      </c>
    </row>
    <row r="9">
      <c r="A9" s="6" t="inlineStr">
        <is>
          <t>Veículo Leve</t>
        </is>
      </c>
      <c r="B9" s="11" t="inlineStr">
        <is>
          <t>JEEP RENEGADE</t>
        </is>
      </c>
      <c r="C9" s="6" t="inlineStr">
        <is>
          <t>TN 02</t>
        </is>
      </c>
      <c r="D9" s="6" t="inlineStr">
        <is>
          <t>LOCALIZA</t>
        </is>
      </c>
      <c r="E9" s="6" t="inlineStr">
        <is>
          <t>CKS</t>
        </is>
      </c>
      <c r="F9" s="6" t="inlineStr">
        <is>
          <t>SHN4H64</t>
        </is>
      </c>
      <c r="G9" s="6" t="inlineStr">
        <is>
          <t>CARAJÁS</t>
        </is>
      </c>
      <c r="H9" s="6" t="inlineStr">
        <is>
          <t>Ciara</t>
        </is>
      </c>
      <c r="I9" s="7" t="n">
        <v>45674</v>
      </c>
      <c r="J9" s="13" t="n"/>
      <c r="K9" s="13" t="n">
        <v>36368</v>
      </c>
      <c r="L9" s="7" t="n">
        <v>45688</v>
      </c>
      <c r="M9" s="7" t="n">
        <v>45889</v>
      </c>
    </row>
    <row r="10" customFormat="1" s="19">
      <c r="A10" s="298" t="inlineStr">
        <is>
          <t>Caminhonete</t>
        </is>
      </c>
      <c r="B10" s="3" t="inlineStr">
        <is>
          <t>NISSAN FRONTIER</t>
        </is>
      </c>
      <c r="C10" s="298" t="inlineStr">
        <is>
          <t>TN 74</t>
        </is>
      </c>
      <c r="D10" s="298" t="inlineStr">
        <is>
          <t>SINAL</t>
        </is>
      </c>
      <c r="E10" s="298" t="inlineStr">
        <is>
          <t>CKS</t>
        </is>
      </c>
      <c r="F10" s="298" t="inlineStr">
        <is>
          <t>RXD1B11</t>
        </is>
      </c>
      <c r="G10" s="298" t="inlineStr">
        <is>
          <t>CARAJÁS</t>
        </is>
      </c>
      <c r="H10" s="298" t="inlineStr">
        <is>
          <t>JANDERSON COSTA</t>
        </is>
      </c>
      <c r="I10" s="17" t="n">
        <v>45681</v>
      </c>
      <c r="J10" s="18" t="n">
        <v>35910</v>
      </c>
      <c r="K10" s="18" t="n">
        <v>36833</v>
      </c>
      <c r="L10" s="15" t="n">
        <v>45695</v>
      </c>
      <c r="M10" s="17" t="n">
        <v>45737</v>
      </c>
    </row>
    <row r="11">
      <c r="A11" s="6" t="inlineStr">
        <is>
          <t>Caminhonete</t>
        </is>
      </c>
      <c r="B11" s="11" t="inlineStr">
        <is>
          <t>NISSAN FRONTIER</t>
        </is>
      </c>
      <c r="C11" s="6" t="inlineStr">
        <is>
          <t>TN 75</t>
        </is>
      </c>
      <c r="D11" s="6" t="inlineStr">
        <is>
          <t>SINAL</t>
        </is>
      </c>
      <c r="E11" s="6" t="inlineStr">
        <is>
          <t>CKS</t>
        </is>
      </c>
      <c r="F11" s="6" t="inlineStr">
        <is>
          <t>RXB4A21</t>
        </is>
      </c>
      <c r="G11" s="6" t="inlineStr">
        <is>
          <t>CARAJÁS</t>
        </is>
      </c>
      <c r="H11" s="6" t="inlineStr">
        <is>
          <t>WEMERSON SILVA</t>
        </is>
      </c>
      <c r="I11" s="7" t="n">
        <v>45681</v>
      </c>
      <c r="J11" s="13" t="n">
        <v>74613</v>
      </c>
      <c r="K11" s="13" t="n"/>
      <c r="L11" s="7" t="n">
        <v>45685</v>
      </c>
      <c r="M11" s="7" t="n">
        <v>45716</v>
      </c>
    </row>
    <row r="12">
      <c r="A12" s="6" t="inlineStr">
        <is>
          <t>Caminhonete</t>
        </is>
      </c>
      <c r="B12" s="11" t="inlineStr">
        <is>
          <t>NISSAN FRONTIER</t>
        </is>
      </c>
      <c r="C12" s="6" t="inlineStr">
        <is>
          <t>TN 76</t>
        </is>
      </c>
      <c r="D12" s="6" t="inlineStr">
        <is>
          <t>SINAL</t>
        </is>
      </c>
      <c r="E12" s="6" t="inlineStr">
        <is>
          <t>CKS</t>
        </is>
      </c>
      <c r="F12" s="6" t="inlineStr">
        <is>
          <t>RXD0C41</t>
        </is>
      </c>
      <c r="G12" s="6" t="inlineStr">
        <is>
          <t>CARAJÁS</t>
        </is>
      </c>
      <c r="H12" s="6" t="inlineStr">
        <is>
          <t>RENAN DEMETRIO</t>
        </is>
      </c>
      <c r="I12" s="7" t="n">
        <v>45681</v>
      </c>
      <c r="J12" s="13" t="n">
        <v>52935</v>
      </c>
      <c r="K12" s="13" t="n">
        <v>53573</v>
      </c>
      <c r="L12" s="7" t="n">
        <v>45691</v>
      </c>
      <c r="M12" s="7" t="n">
        <v>45751</v>
      </c>
    </row>
    <row r="13" customFormat="1" s="19">
      <c r="A13" s="298" t="inlineStr">
        <is>
          <t>Caminhonete</t>
        </is>
      </c>
      <c r="B13" s="3" t="inlineStr">
        <is>
          <t>NISSAN FRONTIER</t>
        </is>
      </c>
      <c r="C13" s="298" t="inlineStr">
        <is>
          <t>TN 04</t>
        </is>
      </c>
      <c r="D13" s="298" t="inlineStr">
        <is>
          <t>SINAL</t>
        </is>
      </c>
      <c r="E13" s="298" t="inlineStr">
        <is>
          <t>CKS</t>
        </is>
      </c>
      <c r="F13" s="298" t="inlineStr">
        <is>
          <t>RXG2A49</t>
        </is>
      </c>
      <c r="G13" s="298" t="inlineStr">
        <is>
          <t>CARAJÁS</t>
        </is>
      </c>
      <c r="H13" s="298" t="inlineStr">
        <is>
          <t>WILLIAN FERNANDO</t>
        </is>
      </c>
      <c r="I13" s="17" t="n">
        <v>45681</v>
      </c>
      <c r="J13" s="18" t="n">
        <v>84180</v>
      </c>
      <c r="K13" s="18" t="n">
        <v>84541</v>
      </c>
      <c r="L13" s="17" t="n">
        <v>45692</v>
      </c>
      <c r="M13" s="17" t="n">
        <v>45734</v>
      </c>
    </row>
    <row r="14">
      <c r="A14" s="298" t="inlineStr">
        <is>
          <t>Caminhonete</t>
        </is>
      </c>
      <c r="B14" s="6" t="inlineStr">
        <is>
          <t xml:space="preserve">L200 - Triton </t>
        </is>
      </c>
      <c r="C14" s="298" t="inlineStr">
        <is>
          <t>TN 73</t>
        </is>
      </c>
      <c r="D14" s="298" t="inlineStr">
        <is>
          <t>SINAL</t>
        </is>
      </c>
      <c r="E14" s="298" t="inlineStr">
        <is>
          <t>CKS</t>
        </is>
      </c>
      <c r="F14" s="298" t="inlineStr">
        <is>
          <t>RXC2D41</t>
        </is>
      </c>
      <c r="G14" s="298" t="inlineStr">
        <is>
          <t>CARAJÁS</t>
        </is>
      </c>
      <c r="H14" s="298" t="inlineStr">
        <is>
          <t>RAFAEL Cruz</t>
        </is>
      </c>
      <c r="I14" s="7" t="n">
        <v>45681</v>
      </c>
      <c r="J14" s="13" t="n">
        <v>35628</v>
      </c>
      <c r="K14" s="13" t="n">
        <v>36111</v>
      </c>
      <c r="L14" s="7" t="n">
        <v>45693</v>
      </c>
      <c r="M14" s="4" t="n">
        <v>45751</v>
      </c>
    </row>
    <row r="15">
      <c r="A15" s="322" t="inlineStr">
        <is>
          <t>Veículos - Novos Cadastros</t>
        </is>
      </c>
      <c r="B15" s="323" t="n"/>
      <c r="C15" s="323" t="n"/>
      <c r="D15" s="323" t="n"/>
      <c r="E15" s="323" t="n"/>
      <c r="F15" s="323" t="n"/>
      <c r="G15" s="323" t="n"/>
      <c r="H15" s="323" t="n"/>
      <c r="I15" s="323" t="n"/>
      <c r="J15" s="323" t="n"/>
      <c r="K15" s="323" t="n"/>
      <c r="L15" s="323" t="n"/>
      <c r="M15" s="324" t="n"/>
    </row>
    <row r="16">
      <c r="A16" s="1" t="inlineStr">
        <is>
          <t>Tipo</t>
        </is>
      </c>
      <c r="B16" s="1" t="inlineStr">
        <is>
          <t xml:space="preserve">Modelos </t>
        </is>
      </c>
      <c r="C16" s="1" t="inlineStr">
        <is>
          <t>Tag</t>
        </is>
      </c>
      <c r="D16" s="1" t="inlineStr">
        <is>
          <t>Locadora</t>
        </is>
      </c>
      <c r="E16" s="1" t="inlineStr">
        <is>
          <t>Localidade</t>
        </is>
      </c>
      <c r="F16" s="1" t="inlineStr">
        <is>
          <t>Placa</t>
        </is>
      </c>
      <c r="G16" s="1" t="inlineStr">
        <is>
          <t>SSO</t>
        </is>
      </c>
      <c r="H16" s="1" t="inlineStr">
        <is>
          <t>Condutores</t>
        </is>
      </c>
      <c r="I16" s="1" t="inlineStr">
        <is>
          <t>SEMANA 01</t>
        </is>
      </c>
      <c r="J16" s="1" t="n"/>
      <c r="K16" s="1" t="inlineStr">
        <is>
          <t xml:space="preserve">KM  </t>
        </is>
      </c>
      <c r="L16" s="1" t="n"/>
      <c r="M16" s="2" t="inlineStr">
        <is>
          <t xml:space="preserve">Validade </t>
        </is>
      </c>
    </row>
    <row r="17"/>
    <row r="18">
      <c r="C18" s="298" t="inlineStr">
        <is>
          <t>TN 73</t>
        </is>
      </c>
      <c r="D18" s="298" t="inlineStr">
        <is>
          <t>SINAL</t>
        </is>
      </c>
      <c r="E18" s="298" t="inlineStr">
        <is>
          <t>CKS</t>
        </is>
      </c>
      <c r="F18" s="298" t="inlineStr">
        <is>
          <t>RXC2D41</t>
        </is>
      </c>
      <c r="G18" s="26" t="inlineStr">
        <is>
          <t xml:space="preserve"> Carro em Manutenção desde :10/01</t>
        </is>
      </c>
    </row>
    <row r="19">
      <c r="C19" s="6" t="inlineStr">
        <is>
          <t>TN 75</t>
        </is>
      </c>
      <c r="D19" s="6" t="inlineStr">
        <is>
          <t>SINAL</t>
        </is>
      </c>
      <c r="E19" s="6" t="inlineStr">
        <is>
          <t>CKS</t>
        </is>
      </c>
      <c r="F19" s="298" t="inlineStr">
        <is>
          <t>RXB4A21</t>
        </is>
      </c>
      <c r="H19" s="27" t="inlineStr">
        <is>
          <t>veiculo em Manutenção desde 09/01</t>
        </is>
      </c>
    </row>
    <row r="20">
      <c r="C20" s="295" t="inlineStr">
        <is>
          <t>Caminhonete</t>
        </is>
      </c>
      <c r="D20" s="28" t="inlineStr">
        <is>
          <t xml:space="preserve">L200 - Triton </t>
        </is>
      </c>
      <c r="E20" s="295" t="inlineStr">
        <is>
          <t>TN 31</t>
        </is>
      </c>
      <c r="F20" s="295" t="inlineStr">
        <is>
          <t>SINAL</t>
        </is>
      </c>
      <c r="G20" s="295" t="inlineStr">
        <is>
          <t>CKS</t>
        </is>
      </c>
      <c r="H20" s="295" t="inlineStr">
        <is>
          <t>RXG6G10</t>
        </is>
      </c>
      <c r="I20" s="34" t="inlineStr">
        <is>
          <t xml:space="preserve"> Veiculo em manutenção desde de 28/01/2025</t>
        </is>
      </c>
      <c r="K20" s="35" t="inlineStr">
        <is>
          <t>Manutenção  28/01</t>
        </is>
      </c>
    </row>
  </sheetData>
  <mergeCells count="2">
    <mergeCell ref="A3:M3"/>
    <mergeCell ref="A15:M15"/>
  </mergeCells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I20" sqref="I20"/>
    </sheetView>
  </sheetViews>
  <sheetFormatPr baseColWidth="8" defaultRowHeight="14.3"/>
  <cols>
    <col width="26.875" customWidth="1" min="1" max="1"/>
    <col width="15.625" bestFit="1" customWidth="1" min="2" max="2"/>
    <col width="14.625" customWidth="1" min="7" max="7"/>
    <col width="24.5" customWidth="1" min="8" max="8"/>
    <col width="16.125" bestFit="1" customWidth="1" min="9" max="9"/>
    <col width="12.5" customWidth="1" min="10" max="10"/>
    <col width="12.125" customWidth="1" min="11" max="11"/>
    <col width="10.5" bestFit="1" customWidth="1" min="12" max="13"/>
    <col width="12.5" bestFit="1" customWidth="1" min="14" max="14"/>
  </cols>
  <sheetData>
    <row r="1"/>
    <row r="2">
      <c r="A2" s="8" t="inlineStr">
        <is>
          <t xml:space="preserve">CONTROLE DE KM - COORDENAÇÃO CIARA ZANELATO 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>
      <c r="A3" s="36" t="inlineStr">
        <is>
          <t xml:space="preserve">Veículos Cadastrados </t>
        </is>
      </c>
      <c r="B3" s="37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</row>
    <row r="4">
      <c r="A4" s="1" t="inlineStr">
        <is>
          <t>Tipo</t>
        </is>
      </c>
      <c r="B4" s="1" t="inlineStr">
        <is>
          <t xml:space="preserve">Modelos </t>
        </is>
      </c>
      <c r="C4" s="1" t="inlineStr">
        <is>
          <t>Tag</t>
        </is>
      </c>
      <c r="D4" s="1" t="inlineStr">
        <is>
          <t>Locadora</t>
        </is>
      </c>
      <c r="E4" s="1" t="inlineStr">
        <is>
          <t>Localidade</t>
        </is>
      </c>
      <c r="F4" s="1" t="inlineStr">
        <is>
          <t>Placa</t>
        </is>
      </c>
      <c r="G4" s="1" t="inlineStr">
        <is>
          <t>SSO</t>
        </is>
      </c>
      <c r="H4" s="1" t="inlineStr">
        <is>
          <t>Condutores</t>
        </is>
      </c>
      <c r="I4" s="1" t="inlineStr">
        <is>
          <t>SEMANA 02</t>
        </is>
      </c>
      <c r="J4" s="1" t="inlineStr">
        <is>
          <t>KM ANTERIOR</t>
        </is>
      </c>
      <c r="K4" s="1" t="inlineStr">
        <is>
          <t>KM  ATUAL</t>
        </is>
      </c>
      <c r="L4" s="1" t="inlineStr">
        <is>
          <t>Lavagem</t>
        </is>
      </c>
      <c r="M4" s="2" t="inlineStr">
        <is>
          <t xml:space="preserve">Validade </t>
        </is>
      </c>
      <c r="N4" s="38" t="inlineStr">
        <is>
          <t>Prox. Lavagem</t>
        </is>
      </c>
    </row>
    <row r="5">
      <c r="A5" s="3" t="inlineStr">
        <is>
          <t>Caminhonete</t>
        </is>
      </c>
      <c r="B5" s="298" t="inlineStr">
        <is>
          <t>CHEVROLET S10</t>
        </is>
      </c>
      <c r="C5" s="3" t="inlineStr">
        <is>
          <t>TN 29</t>
        </is>
      </c>
      <c r="D5" s="3" t="inlineStr">
        <is>
          <t>Sonda</t>
        </is>
      </c>
      <c r="E5" s="3" t="inlineStr">
        <is>
          <t>CKS</t>
        </is>
      </c>
      <c r="F5" s="3" t="inlineStr">
        <is>
          <t>FXR0F35</t>
        </is>
      </c>
      <c r="G5" s="3" t="inlineStr">
        <is>
          <t>CARAJÁS</t>
        </is>
      </c>
      <c r="H5" s="10" t="inlineStr">
        <is>
          <t>JOÃO TAVARES</t>
        </is>
      </c>
      <c r="I5" s="7" t="n">
        <v>45688</v>
      </c>
      <c r="J5" s="13" t="n">
        <v>145252</v>
      </c>
      <c r="K5" s="13" t="n">
        <v>145675</v>
      </c>
      <c r="L5" s="7" t="n">
        <v>45691</v>
      </c>
      <c r="M5" s="4" t="n">
        <v>45799</v>
      </c>
      <c r="N5" s="7" t="n">
        <v>45700</v>
      </c>
    </row>
    <row r="6">
      <c r="A6" s="295" t="inlineStr">
        <is>
          <t>Caminhonete</t>
        </is>
      </c>
      <c r="B6" s="28" t="inlineStr">
        <is>
          <t xml:space="preserve">L200 - Triton </t>
        </is>
      </c>
      <c r="C6" s="295" t="inlineStr">
        <is>
          <t>TN 31</t>
        </is>
      </c>
      <c r="D6" s="295" t="inlineStr">
        <is>
          <t>SINAL</t>
        </is>
      </c>
      <c r="E6" s="295" t="inlineStr">
        <is>
          <t>CKS</t>
        </is>
      </c>
      <c r="F6" s="295" t="inlineStr">
        <is>
          <t>RXG6G10</t>
        </is>
      </c>
      <c r="G6" s="295" t="inlineStr">
        <is>
          <t>CARAJÁS</t>
        </is>
      </c>
      <c r="H6" s="33" t="inlineStr">
        <is>
          <t>Lucas</t>
        </is>
      </c>
      <c r="I6" s="30" t="n">
        <v>45688</v>
      </c>
      <c r="J6" s="31" t="n">
        <v>49194</v>
      </c>
      <c r="K6" s="31" t="n"/>
      <c r="L6" s="30" t="n">
        <v>45685</v>
      </c>
      <c r="M6" s="30" t="n">
        <v>45716</v>
      </c>
      <c r="N6" s="30" t="n"/>
      <c r="O6" s="32" t="inlineStr">
        <is>
          <t>Manutenção  28/01</t>
        </is>
      </c>
    </row>
    <row r="7">
      <c r="A7" s="6" t="inlineStr">
        <is>
          <t>Caminhonete</t>
        </is>
      </c>
      <c r="B7" s="6" t="inlineStr">
        <is>
          <t xml:space="preserve">FORD RANGER </t>
        </is>
      </c>
      <c r="C7" s="6" t="inlineStr">
        <is>
          <t>TN 72</t>
        </is>
      </c>
      <c r="D7" s="6" t="inlineStr">
        <is>
          <t>Sonda</t>
        </is>
      </c>
      <c r="E7" s="6" t="inlineStr">
        <is>
          <t>CKS</t>
        </is>
      </c>
      <c r="F7" s="6" t="inlineStr">
        <is>
          <t>FXD9A18</t>
        </is>
      </c>
      <c r="G7" s="6" t="inlineStr">
        <is>
          <t>CARAJÁS</t>
        </is>
      </c>
      <c r="H7" s="6" t="inlineStr">
        <is>
          <t>RAIMUNDO CHARLES</t>
        </is>
      </c>
      <c r="I7" s="7" t="n">
        <v>45688</v>
      </c>
      <c r="J7" s="13" t="n">
        <v>82349</v>
      </c>
      <c r="K7" s="13" t="n">
        <v>83172</v>
      </c>
      <c r="L7" s="7" t="n">
        <v>45692</v>
      </c>
      <c r="M7" s="7" t="n">
        <v>45835</v>
      </c>
      <c r="N7" s="7" t="n">
        <v>45699</v>
      </c>
    </row>
    <row r="8">
      <c r="A8" s="295" t="inlineStr">
        <is>
          <t>Caminhonete</t>
        </is>
      </c>
      <c r="B8" s="295" t="inlineStr">
        <is>
          <t>NISSAN FRONTIER</t>
        </is>
      </c>
      <c r="C8" s="295" t="inlineStr">
        <is>
          <t>TN 03</t>
        </is>
      </c>
      <c r="D8" s="295" t="inlineStr">
        <is>
          <t>SINAL</t>
        </is>
      </c>
      <c r="E8" s="295" t="inlineStr">
        <is>
          <t>CKS</t>
        </is>
      </c>
      <c r="F8" s="295" t="inlineStr">
        <is>
          <t>RXD1B51</t>
        </is>
      </c>
      <c r="G8" s="295" t="inlineStr">
        <is>
          <t>CARAJÁS</t>
        </is>
      </c>
      <c r="H8" s="295" t="inlineStr">
        <is>
          <t>Lucas</t>
        </is>
      </c>
      <c r="I8" s="30" t="n">
        <v>45688</v>
      </c>
      <c r="J8" s="31" t="n">
        <v>24948</v>
      </c>
      <c r="K8" s="31" t="n"/>
      <c r="L8" s="30" t="inlineStr">
        <is>
          <t>x/02/2025</t>
        </is>
      </c>
      <c r="M8" s="30" t="n">
        <v>45723</v>
      </c>
      <c r="N8" s="30" t="n"/>
      <c r="O8" s="32" t="inlineStr">
        <is>
          <t>manutenção</t>
        </is>
      </c>
    </row>
    <row r="9">
      <c r="A9" s="6" t="inlineStr">
        <is>
          <t>Veículo Leve</t>
        </is>
      </c>
      <c r="B9" s="11" t="inlineStr">
        <is>
          <t>JEEP RENEGADE</t>
        </is>
      </c>
      <c r="C9" s="6" t="inlineStr">
        <is>
          <t>TN 02</t>
        </is>
      </c>
      <c r="D9" s="6" t="inlineStr">
        <is>
          <t>LOCALIZA</t>
        </is>
      </c>
      <c r="E9" s="6" t="inlineStr">
        <is>
          <t>CKS</t>
        </is>
      </c>
      <c r="F9" s="6" t="inlineStr">
        <is>
          <t>SHN4H64</t>
        </is>
      </c>
      <c r="G9" s="6" t="inlineStr">
        <is>
          <t>CARAJÁS</t>
        </is>
      </c>
      <c r="H9" s="6" t="inlineStr">
        <is>
          <t>Ciara</t>
        </is>
      </c>
      <c r="I9" s="7" t="n">
        <v>45674</v>
      </c>
      <c r="J9" s="13" t="n">
        <v>36368</v>
      </c>
      <c r="K9" s="13" t="n">
        <v>37094</v>
      </c>
      <c r="L9" s="7" t="n">
        <v>45688</v>
      </c>
      <c r="M9" s="7" t="n">
        <v>45889</v>
      </c>
      <c r="N9" s="7" t="n"/>
    </row>
    <row r="10">
      <c r="A10" s="298" t="inlineStr">
        <is>
          <t>Caminhonete</t>
        </is>
      </c>
      <c r="B10" s="3" t="inlineStr">
        <is>
          <t>NISSAN FRONTIER</t>
        </is>
      </c>
      <c r="C10" s="298" t="inlineStr">
        <is>
          <t>TN 74</t>
        </is>
      </c>
      <c r="D10" s="298" t="inlineStr">
        <is>
          <t>SINAL</t>
        </is>
      </c>
      <c r="E10" s="298" t="inlineStr">
        <is>
          <t>CKS</t>
        </is>
      </c>
      <c r="F10" s="298" t="inlineStr">
        <is>
          <t>RXD1B11</t>
        </is>
      </c>
      <c r="G10" s="298" t="inlineStr">
        <is>
          <t>CARAJÁS</t>
        </is>
      </c>
      <c r="H10" s="298" t="inlineStr">
        <is>
          <t>JANDERSON COSTA</t>
        </is>
      </c>
      <c r="I10" s="17" t="n">
        <v>45681</v>
      </c>
      <c r="J10" s="18" t="n">
        <v>36833</v>
      </c>
      <c r="K10" s="18" t="n">
        <v>37820</v>
      </c>
      <c r="L10" s="15" t="n">
        <v>45695</v>
      </c>
      <c r="M10" s="17" t="n">
        <v>45737</v>
      </c>
      <c r="N10" s="7" t="n">
        <v>45702</v>
      </c>
    </row>
    <row r="11">
      <c r="A11" s="6" t="inlineStr">
        <is>
          <t>Caminhonete</t>
        </is>
      </c>
      <c r="B11" s="11" t="inlineStr">
        <is>
          <t>NISSAN FRONTIER</t>
        </is>
      </c>
      <c r="C11" s="6" t="inlineStr">
        <is>
          <t>TN 75</t>
        </is>
      </c>
      <c r="D11" s="6" t="inlineStr">
        <is>
          <t>SINAL</t>
        </is>
      </c>
      <c r="E11" s="6" t="inlineStr">
        <is>
          <t>CKS</t>
        </is>
      </c>
      <c r="F11" s="6" t="inlineStr">
        <is>
          <t>RXB4A21</t>
        </is>
      </c>
      <c r="G11" s="6" t="inlineStr">
        <is>
          <t>CARAJÁS</t>
        </is>
      </c>
      <c r="H11" s="6" t="inlineStr">
        <is>
          <t>WEMERSON SILVA</t>
        </is>
      </c>
      <c r="I11" s="7" t="n">
        <v>45681</v>
      </c>
      <c r="J11" s="13" t="n">
        <v>74613</v>
      </c>
      <c r="K11" s="13" t="n">
        <v>75808</v>
      </c>
      <c r="L11" s="7" t="n">
        <v>45685</v>
      </c>
      <c r="M11" s="7" t="n">
        <v>45716</v>
      </c>
      <c r="N11" s="7" t="n">
        <v>45699</v>
      </c>
    </row>
    <row r="12">
      <c r="A12" s="6" t="inlineStr">
        <is>
          <t>Caminhonete</t>
        </is>
      </c>
      <c r="B12" s="11" t="inlineStr">
        <is>
          <t>NISSAN FRONTIER</t>
        </is>
      </c>
      <c r="C12" s="6" t="inlineStr">
        <is>
          <t>TN 76</t>
        </is>
      </c>
      <c r="D12" s="6" t="inlineStr">
        <is>
          <t>SINAL</t>
        </is>
      </c>
      <c r="E12" s="6" t="inlineStr">
        <is>
          <t>CKS</t>
        </is>
      </c>
      <c r="F12" s="6" t="inlineStr">
        <is>
          <t>RXD0C41</t>
        </is>
      </c>
      <c r="G12" s="6" t="inlineStr">
        <is>
          <t>CARAJÁS</t>
        </is>
      </c>
      <c r="H12" s="6" t="inlineStr">
        <is>
          <t>RENAN DEMETRIO</t>
        </is>
      </c>
      <c r="I12" s="7" t="n">
        <v>45681</v>
      </c>
      <c r="J12" s="13" t="n">
        <v>53573</v>
      </c>
      <c r="K12" s="13" t="n">
        <v>54045</v>
      </c>
      <c r="L12" s="7" t="n">
        <v>45691</v>
      </c>
      <c r="M12" s="7" t="n">
        <v>45751</v>
      </c>
      <c r="N12" s="7" t="n">
        <v>45701</v>
      </c>
    </row>
    <row r="13">
      <c r="A13" s="298" t="inlineStr">
        <is>
          <t>Caminhonete</t>
        </is>
      </c>
      <c r="B13" s="3" t="inlineStr">
        <is>
          <t>NISSAN FRONTIER</t>
        </is>
      </c>
      <c r="C13" s="298" t="inlineStr">
        <is>
          <t>TN 04</t>
        </is>
      </c>
      <c r="D13" s="298" t="inlineStr">
        <is>
          <t>SINAL</t>
        </is>
      </c>
      <c r="E13" s="298" t="inlineStr">
        <is>
          <t>CKS</t>
        </is>
      </c>
      <c r="F13" s="298" t="inlineStr">
        <is>
          <t>RXG2A49</t>
        </is>
      </c>
      <c r="G13" s="298" t="inlineStr">
        <is>
          <t>CARAJÁS</t>
        </is>
      </c>
      <c r="H13" s="298" t="inlineStr">
        <is>
          <t>WILLIAN FERNANDO</t>
        </is>
      </c>
      <c r="I13" s="17" t="n">
        <v>45681</v>
      </c>
      <c r="J13" s="18" t="n">
        <v>84541</v>
      </c>
      <c r="K13" s="18" t="n">
        <v>85030</v>
      </c>
      <c r="L13" s="17" t="n">
        <v>45692</v>
      </c>
      <c r="M13" s="17" t="n">
        <v>45734</v>
      </c>
      <c r="N13" s="17" t="n">
        <v>45700</v>
      </c>
    </row>
    <row r="14">
      <c r="A14" s="298" t="inlineStr">
        <is>
          <t>Caminhonete</t>
        </is>
      </c>
      <c r="B14" s="6" t="inlineStr">
        <is>
          <t xml:space="preserve">L200 - Triton </t>
        </is>
      </c>
      <c r="C14" s="298" t="inlineStr">
        <is>
          <t>TN 73</t>
        </is>
      </c>
      <c r="D14" s="298" t="inlineStr">
        <is>
          <t>SINAL</t>
        </is>
      </c>
      <c r="E14" s="298" t="inlineStr">
        <is>
          <t>CKS</t>
        </is>
      </c>
      <c r="F14" s="298" t="inlineStr">
        <is>
          <t>RXC2D41</t>
        </is>
      </c>
      <c r="G14" s="298" t="inlineStr">
        <is>
          <t>CARAJÁS</t>
        </is>
      </c>
      <c r="H14" s="298" t="inlineStr">
        <is>
          <t>RAFAEL Cruz</t>
        </is>
      </c>
      <c r="I14" s="7" t="n">
        <v>45681</v>
      </c>
      <c r="J14" s="13" t="n">
        <v>36111</v>
      </c>
      <c r="K14" s="13" t="n">
        <v>36497</v>
      </c>
      <c r="L14" s="7" t="n">
        <v>45693</v>
      </c>
      <c r="M14" s="4" t="n">
        <v>45751</v>
      </c>
      <c r="N14" s="7" t="n">
        <v>45701</v>
      </c>
    </row>
    <row r="15">
      <c r="A15" s="292" t="inlineStr">
        <is>
          <t>Veículos - Novos Cadastros</t>
        </is>
      </c>
      <c r="B15" s="323" t="n"/>
      <c r="C15" s="323" t="n"/>
      <c r="D15" s="323" t="n"/>
      <c r="E15" s="323" t="n"/>
      <c r="F15" s="323" t="n"/>
      <c r="G15" s="323" t="n"/>
      <c r="H15" s="323" t="n"/>
      <c r="I15" s="323" t="n"/>
      <c r="J15" s="323" t="n"/>
      <c r="K15" s="323" t="n"/>
      <c r="L15" s="323" t="n"/>
      <c r="M15" s="323" t="n"/>
      <c r="N15" s="323" t="n"/>
    </row>
    <row r="16">
      <c r="A16" s="1" t="inlineStr">
        <is>
          <t>Tipo</t>
        </is>
      </c>
      <c r="B16" s="1" t="inlineStr">
        <is>
          <t xml:space="preserve">Modelos </t>
        </is>
      </c>
      <c r="C16" s="1" t="inlineStr">
        <is>
          <t>Tag</t>
        </is>
      </c>
      <c r="D16" s="1" t="inlineStr">
        <is>
          <t>Locadora</t>
        </is>
      </c>
      <c r="E16" s="1" t="inlineStr">
        <is>
          <t>Localidade</t>
        </is>
      </c>
      <c r="F16" s="1" t="inlineStr">
        <is>
          <t>Placa</t>
        </is>
      </c>
      <c r="G16" s="1" t="inlineStr">
        <is>
          <t>SSO</t>
        </is>
      </c>
      <c r="H16" s="1" t="inlineStr">
        <is>
          <t>Condutores</t>
        </is>
      </c>
      <c r="I16" s="1" t="inlineStr">
        <is>
          <t>SEMANA 01</t>
        </is>
      </c>
      <c r="J16" s="1" t="n"/>
      <c r="K16" s="1" t="inlineStr">
        <is>
          <t xml:space="preserve">KM  </t>
        </is>
      </c>
      <c r="L16" s="1" t="n"/>
      <c r="M16" s="2" t="inlineStr">
        <is>
          <t xml:space="preserve">Validade </t>
        </is>
      </c>
      <c r="N16" s="38" t="inlineStr">
        <is>
          <t>Prox. Lavagem</t>
        </is>
      </c>
    </row>
    <row r="17"/>
    <row r="18">
      <c r="C18" s="295" t="inlineStr">
        <is>
          <t>TN 31</t>
        </is>
      </c>
      <c r="D18" s="295" t="inlineStr">
        <is>
          <t>SINAL</t>
        </is>
      </c>
      <c r="E18" s="295" t="inlineStr">
        <is>
          <t>CKS</t>
        </is>
      </c>
      <c r="F18" s="295" t="inlineStr">
        <is>
          <t>RXG6G10</t>
        </is>
      </c>
      <c r="G18" s="298" t="inlineStr">
        <is>
          <t>Manutenção desde dia 28/01/2025</t>
        </is>
      </c>
      <c r="H18" s="324" t="n"/>
      <c r="I18" s="39" t="inlineStr">
        <is>
          <t>Liberado dia 08/02</t>
        </is>
      </c>
    </row>
    <row r="19">
      <c r="C19" s="295" t="inlineStr">
        <is>
          <t>TN 03</t>
        </is>
      </c>
      <c r="D19" s="295" t="inlineStr">
        <is>
          <t>SINAL</t>
        </is>
      </c>
      <c r="E19" s="295" t="inlineStr">
        <is>
          <t>CKS</t>
        </is>
      </c>
      <c r="F19" s="295" t="inlineStr">
        <is>
          <t>RXD1B51</t>
        </is>
      </c>
      <c r="G19" s="298" t="inlineStr">
        <is>
          <t>Manutenção desde dia 06/02/2025</t>
        </is>
      </c>
      <c r="H19" s="324" t="n"/>
      <c r="I19" s="39" t="inlineStr">
        <is>
          <t>Liberado dia 10/02</t>
        </is>
      </c>
    </row>
  </sheetData>
  <mergeCells count="3">
    <mergeCell ref="G19:H19"/>
    <mergeCell ref="G18:H18"/>
    <mergeCell ref="A15:N15"/>
  </mergeCells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L9" sqref="L9"/>
    </sheetView>
  </sheetViews>
  <sheetFormatPr baseColWidth="8" defaultRowHeight="14.3"/>
  <cols>
    <col width="13.875" customWidth="1" min="1" max="1"/>
    <col width="18" customWidth="1" min="2" max="2"/>
    <col hidden="1" width="14.125" customWidth="1" min="8" max="8"/>
    <col width="14.125" customWidth="1" min="9" max="9"/>
    <col width="12.125" customWidth="1" min="10" max="10"/>
    <col width="11.125" customWidth="1" min="11" max="11"/>
    <col width="14.5" customWidth="1" min="12" max="12"/>
    <col width="10.875" customWidth="1" min="13" max="13"/>
    <col width="12.625" customWidth="1" min="14" max="14"/>
  </cols>
  <sheetData>
    <row r="1">
      <c r="A1" s="8" t="inlineStr">
        <is>
          <t xml:space="preserve">CONTROLE DE KM - COORDENAÇÃO CIARA ZANELATO 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</row>
    <row r="2">
      <c r="A2" s="36" t="inlineStr">
        <is>
          <t xml:space="preserve">Veículos Cadastrados 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7" t="n"/>
      <c r="K2" s="37" t="n"/>
      <c r="L2" s="37" t="n"/>
      <c r="M2" s="37" t="n"/>
    </row>
    <row r="3">
      <c r="A3" s="1" t="inlineStr">
        <is>
          <t>Tipo</t>
        </is>
      </c>
      <c r="B3" s="1" t="inlineStr">
        <is>
          <t xml:space="preserve">Modelos </t>
        </is>
      </c>
      <c r="C3" s="1" t="inlineStr">
        <is>
          <t>Tag</t>
        </is>
      </c>
      <c r="D3" s="1" t="inlineStr">
        <is>
          <t>Locadora</t>
        </is>
      </c>
      <c r="E3" s="1" t="inlineStr">
        <is>
          <t>Localidade</t>
        </is>
      </c>
      <c r="F3" s="1" t="inlineStr">
        <is>
          <t>Placa</t>
        </is>
      </c>
      <c r="G3" s="1" t="inlineStr">
        <is>
          <t>SSO</t>
        </is>
      </c>
      <c r="H3" s="1" t="inlineStr">
        <is>
          <t>Condutores</t>
        </is>
      </c>
      <c r="I3" s="1" t="inlineStr">
        <is>
          <t>SEMANA 01</t>
        </is>
      </c>
      <c r="J3" s="1" t="inlineStr">
        <is>
          <t>KM ANTERIOR</t>
        </is>
      </c>
      <c r="K3" s="1" t="inlineStr">
        <is>
          <t>KM  ATUAL</t>
        </is>
      </c>
      <c r="L3" s="42" t="inlineStr">
        <is>
          <t>Ultima lavagem</t>
        </is>
      </c>
      <c r="M3" s="2" t="inlineStr">
        <is>
          <t xml:space="preserve">Validade </t>
        </is>
      </c>
      <c r="N3" s="38" t="inlineStr">
        <is>
          <t>Prox. Lavagem</t>
        </is>
      </c>
    </row>
    <row r="4">
      <c r="A4" s="3" t="inlineStr">
        <is>
          <t>Caminhonete</t>
        </is>
      </c>
      <c r="B4" s="298" t="inlineStr">
        <is>
          <t>CHEVROLET S10</t>
        </is>
      </c>
      <c r="C4" s="3" t="inlineStr">
        <is>
          <t>TN 29</t>
        </is>
      </c>
      <c r="D4" s="3" t="inlineStr">
        <is>
          <t>Sonda</t>
        </is>
      </c>
      <c r="E4" s="3" t="inlineStr">
        <is>
          <t>CKS</t>
        </is>
      </c>
      <c r="F4" s="3" t="inlineStr">
        <is>
          <t>FXR0F35</t>
        </is>
      </c>
      <c r="G4" s="3" t="inlineStr">
        <is>
          <t>CARAJÁS</t>
        </is>
      </c>
      <c r="H4" s="10" t="inlineStr">
        <is>
          <t>JOÃO TAVARES</t>
        </is>
      </c>
      <c r="I4" s="7" t="n">
        <v>45723</v>
      </c>
      <c r="J4" s="18" t="n">
        <v>148438</v>
      </c>
      <c r="K4" s="18" t="n">
        <v>148691</v>
      </c>
      <c r="L4" s="7" t="n">
        <v>45712</v>
      </c>
      <c r="M4" s="4" t="n">
        <v>45799</v>
      </c>
      <c r="N4" s="7" t="n">
        <v>45727</v>
      </c>
    </row>
    <row r="5">
      <c r="A5" s="6" t="inlineStr">
        <is>
          <t>Caminhonete</t>
        </is>
      </c>
      <c r="B5" s="6" t="inlineStr">
        <is>
          <t xml:space="preserve">L200 - Triton </t>
        </is>
      </c>
      <c r="C5" s="6" t="inlineStr">
        <is>
          <t>TN 31</t>
        </is>
      </c>
      <c r="D5" s="6" t="inlineStr">
        <is>
          <t>SINAL</t>
        </is>
      </c>
      <c r="E5" s="6" t="inlineStr">
        <is>
          <t>CKS</t>
        </is>
      </c>
      <c r="F5" s="6" t="inlineStr">
        <is>
          <t>RXG6G10</t>
        </is>
      </c>
      <c r="G5" s="6" t="inlineStr">
        <is>
          <t>CARAJÁS</t>
        </is>
      </c>
      <c r="H5" s="6" t="inlineStr">
        <is>
          <t>Lucas</t>
        </is>
      </c>
      <c r="I5" s="7" t="n">
        <v>45723</v>
      </c>
      <c r="J5" s="13" t="n">
        <v>50458</v>
      </c>
      <c r="K5" s="13" t="n">
        <v>51219</v>
      </c>
      <c r="L5" s="7" t="n">
        <v>45714</v>
      </c>
      <c r="M5" s="7" t="n">
        <v>45716</v>
      </c>
      <c r="N5" s="7" t="n">
        <v>45727</v>
      </c>
    </row>
    <row r="6">
      <c r="A6" s="6" t="inlineStr">
        <is>
          <t>Caminhonete</t>
        </is>
      </c>
      <c r="B6" s="6" t="inlineStr">
        <is>
          <t xml:space="preserve">FORD RANGER </t>
        </is>
      </c>
      <c r="C6" s="6" t="inlineStr">
        <is>
          <t>TN 72</t>
        </is>
      </c>
      <c r="D6" s="6" t="inlineStr">
        <is>
          <t>Sonda</t>
        </is>
      </c>
      <c r="E6" s="6" t="inlineStr">
        <is>
          <t>CKS</t>
        </is>
      </c>
      <c r="F6" s="6" t="inlineStr">
        <is>
          <t>FXD9A18</t>
        </is>
      </c>
      <c r="G6" s="6" t="inlineStr">
        <is>
          <t>CARAJÁS</t>
        </is>
      </c>
      <c r="H6" s="6" t="inlineStr">
        <is>
          <t>RAIMUNDO CHARLES</t>
        </is>
      </c>
      <c r="I6" s="7" t="n">
        <v>45723</v>
      </c>
      <c r="J6" s="13" t="n">
        <v>85531</v>
      </c>
      <c r="K6" s="13" t="n">
        <v>85969</v>
      </c>
      <c r="L6" s="7" t="n">
        <v>45715</v>
      </c>
      <c r="M6" s="7" t="n">
        <v>45835</v>
      </c>
      <c r="N6" s="7" t="n">
        <v>45728</v>
      </c>
    </row>
    <row r="7">
      <c r="A7" s="6" t="inlineStr">
        <is>
          <t>Caminhonete</t>
        </is>
      </c>
      <c r="B7" s="11" t="inlineStr">
        <is>
          <t>NISSAN FRONTIER</t>
        </is>
      </c>
      <c r="C7" s="6" t="inlineStr">
        <is>
          <t>TN 03</t>
        </is>
      </c>
      <c r="D7" s="6" t="inlineStr">
        <is>
          <t>SINAL</t>
        </is>
      </c>
      <c r="E7" s="6" t="inlineStr">
        <is>
          <t>CKS</t>
        </is>
      </c>
      <c r="F7" s="6" t="inlineStr">
        <is>
          <t>RXD1B51</t>
        </is>
      </c>
      <c r="G7" s="6" t="inlineStr">
        <is>
          <t>CARAJÁS</t>
        </is>
      </c>
      <c r="H7" s="6" t="inlineStr">
        <is>
          <t>Lucas</t>
        </is>
      </c>
      <c r="I7" s="7" t="n">
        <v>45723</v>
      </c>
      <c r="J7" s="13" t="n">
        <v>27303</v>
      </c>
      <c r="K7" s="13" t="n">
        <v>27607</v>
      </c>
      <c r="L7" s="7" t="n"/>
      <c r="M7" s="7" t="n">
        <v>45723</v>
      </c>
      <c r="N7" s="7" t="n">
        <v>45729</v>
      </c>
    </row>
    <row r="8">
      <c r="A8" s="295" t="inlineStr">
        <is>
          <t>Veículo Leve</t>
        </is>
      </c>
      <c r="B8" s="295" t="inlineStr">
        <is>
          <t>JEEP RENEGADE</t>
        </is>
      </c>
      <c r="C8" s="295" t="inlineStr">
        <is>
          <t>TN 02</t>
        </is>
      </c>
      <c r="D8" s="295" t="inlineStr">
        <is>
          <t>LOCALIZA</t>
        </is>
      </c>
      <c r="E8" s="295" t="inlineStr">
        <is>
          <t>CKS</t>
        </is>
      </c>
      <c r="F8" s="295" t="inlineStr">
        <is>
          <t>SHN4H64</t>
        </is>
      </c>
      <c r="G8" s="295" t="inlineStr">
        <is>
          <t>CARAJÁS</t>
        </is>
      </c>
      <c r="H8" s="295" t="inlineStr">
        <is>
          <t>Ciara</t>
        </is>
      </c>
      <c r="I8" s="30" t="n">
        <v>45695</v>
      </c>
      <c r="J8" s="31" t="n">
        <v>37094</v>
      </c>
      <c r="K8" s="31" t="n"/>
      <c r="L8" s="30" t="n"/>
      <c r="M8" s="30" t="n">
        <v>45889</v>
      </c>
      <c r="N8" s="30" t="n"/>
    </row>
    <row r="9">
      <c r="A9" s="28" t="inlineStr">
        <is>
          <t>Caminhonete</t>
        </is>
      </c>
      <c r="B9" s="295" t="inlineStr">
        <is>
          <t>NISSAN FRONTIER</t>
        </is>
      </c>
      <c r="C9" s="28" t="inlineStr">
        <is>
          <t>TN 74</t>
        </is>
      </c>
      <c r="D9" s="28" t="inlineStr">
        <is>
          <t>SINAL</t>
        </is>
      </c>
      <c r="E9" s="28" t="inlineStr">
        <is>
          <t>CKS</t>
        </is>
      </c>
      <c r="F9" s="28" t="inlineStr">
        <is>
          <t>RXD1B11</t>
        </is>
      </c>
      <c r="G9" s="28" t="inlineStr">
        <is>
          <t>CARAJÁS</t>
        </is>
      </c>
      <c r="H9" s="45" t="inlineStr">
        <is>
          <t>ERICK</t>
        </is>
      </c>
      <c r="I9" s="30" t="n">
        <v>45723</v>
      </c>
      <c r="J9" s="31" t="n">
        <v>40151</v>
      </c>
      <c r="K9" s="31" t="n"/>
      <c r="L9" s="30" t="n">
        <v>45716</v>
      </c>
      <c r="M9" s="30" t="n">
        <v>45737</v>
      </c>
      <c r="N9" s="30" t="n">
        <v>45730</v>
      </c>
    </row>
    <row r="10">
      <c r="A10" s="6" t="inlineStr">
        <is>
          <t>Caminhonete</t>
        </is>
      </c>
      <c r="B10" s="11" t="inlineStr">
        <is>
          <t>NISSAN FRONTIER</t>
        </is>
      </c>
      <c r="C10" s="6" t="inlineStr">
        <is>
          <t>TN 75</t>
        </is>
      </c>
      <c r="D10" s="6" t="inlineStr">
        <is>
          <t>SINAL</t>
        </is>
      </c>
      <c r="E10" s="6" t="inlineStr">
        <is>
          <t>CKS</t>
        </is>
      </c>
      <c r="F10" s="6" t="inlineStr">
        <is>
          <t>RXB4A21</t>
        </is>
      </c>
      <c r="G10" s="6" t="inlineStr">
        <is>
          <t>CARAJÁS</t>
        </is>
      </c>
      <c r="H10" s="41" t="inlineStr">
        <is>
          <t>JANDERSON COSTA</t>
        </is>
      </c>
      <c r="I10" s="7" t="n">
        <v>45723</v>
      </c>
      <c r="J10" s="13" t="n">
        <v>77357</v>
      </c>
      <c r="K10" s="13" t="n">
        <v>77531</v>
      </c>
      <c r="L10" s="7" t="n">
        <v>45713</v>
      </c>
      <c r="M10" s="7" t="n">
        <v>45716</v>
      </c>
      <c r="N10" s="7" t="n">
        <v>45729</v>
      </c>
    </row>
    <row r="11">
      <c r="A11" s="6" t="inlineStr">
        <is>
          <t>Caminhonete</t>
        </is>
      </c>
      <c r="B11" s="11" t="inlineStr">
        <is>
          <t>NISSAN FRONTIER</t>
        </is>
      </c>
      <c r="C11" s="6" t="inlineStr">
        <is>
          <t>TN 76</t>
        </is>
      </c>
      <c r="D11" s="6" t="inlineStr">
        <is>
          <t>SINAL</t>
        </is>
      </c>
      <c r="E11" s="6" t="inlineStr">
        <is>
          <t>CKS</t>
        </is>
      </c>
      <c r="F11" s="6" t="inlineStr">
        <is>
          <t>RXD0C41</t>
        </is>
      </c>
      <c r="G11" s="6" t="inlineStr">
        <is>
          <t>CARAJÁS</t>
        </is>
      </c>
      <c r="H11" s="6" t="inlineStr">
        <is>
          <t>WERIKLIS</t>
        </is>
      </c>
      <c r="I11" s="7" t="n">
        <v>45723</v>
      </c>
      <c r="J11" s="13" t="n">
        <v>56028</v>
      </c>
      <c r="K11" s="13" t="n">
        <v>56501</v>
      </c>
      <c r="L11" s="7" t="n">
        <v>45716</v>
      </c>
      <c r="M11" s="7" t="n">
        <v>45751</v>
      </c>
      <c r="N11" s="7" t="n">
        <v>45727</v>
      </c>
    </row>
    <row r="12">
      <c r="A12" s="295" t="inlineStr">
        <is>
          <t>Caminhonete</t>
        </is>
      </c>
      <c r="B12" s="295" t="inlineStr">
        <is>
          <t>NISSAN FRONTIER</t>
        </is>
      </c>
      <c r="C12" s="295" t="inlineStr">
        <is>
          <t>TN 04</t>
        </is>
      </c>
      <c r="D12" s="295" t="inlineStr">
        <is>
          <t>SINAL</t>
        </is>
      </c>
      <c r="E12" s="295" t="inlineStr">
        <is>
          <t>CKS</t>
        </is>
      </c>
      <c r="F12" s="295" t="inlineStr">
        <is>
          <t>RXG2A49</t>
        </is>
      </c>
      <c r="G12" s="295" t="inlineStr">
        <is>
          <t>CARAJÁS</t>
        </is>
      </c>
      <c r="H12" s="295" t="inlineStr">
        <is>
          <t>WILLIAN FERNANDO</t>
        </is>
      </c>
      <c r="I12" s="30" t="n">
        <v>45709</v>
      </c>
      <c r="J12" s="31" t="n">
        <v>85030</v>
      </c>
      <c r="K12" s="31" t="n"/>
      <c r="L12" s="30" t="n"/>
      <c r="M12" s="30" t="n">
        <v>45734</v>
      </c>
      <c r="N12" s="30" t="n"/>
    </row>
    <row r="13">
      <c r="A13" s="298" t="inlineStr">
        <is>
          <t>Caminhonete</t>
        </is>
      </c>
      <c r="B13" s="6" t="inlineStr">
        <is>
          <t xml:space="preserve">L200 - Triton </t>
        </is>
      </c>
      <c r="C13" s="298" t="inlineStr">
        <is>
          <t>TN 73</t>
        </is>
      </c>
      <c r="D13" s="298" t="inlineStr">
        <is>
          <t>SINAL</t>
        </is>
      </c>
      <c r="E13" s="298" t="inlineStr">
        <is>
          <t>CKS</t>
        </is>
      </c>
      <c r="F13" s="298" t="inlineStr">
        <is>
          <t>RXC2D41</t>
        </is>
      </c>
      <c r="G13" s="298" t="inlineStr">
        <is>
          <t>CARAJÁS</t>
        </is>
      </c>
      <c r="H13" s="298" t="inlineStr">
        <is>
          <t>ROSIVALDO</t>
        </is>
      </c>
      <c r="I13" s="7" t="n">
        <v>45723</v>
      </c>
      <c r="J13" s="13" t="n">
        <v>38443</v>
      </c>
      <c r="K13" s="13" t="n">
        <v>38941</v>
      </c>
      <c r="L13" s="7" t="n">
        <v>45714</v>
      </c>
      <c r="M13" s="4" t="n">
        <v>45751</v>
      </c>
      <c r="N13" s="7" t="n">
        <v>45727</v>
      </c>
    </row>
    <row r="14">
      <c r="A14" s="292" t="inlineStr">
        <is>
          <t>Veículos - Novos Cadastros</t>
        </is>
      </c>
      <c r="B14" s="323" t="n"/>
      <c r="C14" s="323" t="n"/>
      <c r="D14" s="323" t="n"/>
      <c r="E14" s="323" t="n"/>
      <c r="F14" s="323" t="n"/>
      <c r="G14" s="323" t="n"/>
      <c r="H14" s="323" t="n"/>
      <c r="I14" s="323" t="n"/>
      <c r="J14" s="323" t="n"/>
      <c r="K14" s="323" t="n"/>
      <c r="L14" s="323" t="n"/>
      <c r="M14" s="323" t="n"/>
      <c r="N14" s="323" t="n"/>
    </row>
    <row r="15">
      <c r="A15" s="1" t="inlineStr">
        <is>
          <t>Tipo</t>
        </is>
      </c>
      <c r="B15" s="1" t="inlineStr">
        <is>
          <t xml:space="preserve">Modelos </t>
        </is>
      </c>
      <c r="C15" s="1" t="inlineStr">
        <is>
          <t>Tag</t>
        </is>
      </c>
      <c r="D15" s="1" t="inlineStr">
        <is>
          <t>Locadora</t>
        </is>
      </c>
      <c r="E15" s="1" t="inlineStr">
        <is>
          <t>Localidade</t>
        </is>
      </c>
      <c r="F15" s="1" t="inlineStr">
        <is>
          <t>Placa</t>
        </is>
      </c>
      <c r="G15" s="1" t="inlineStr">
        <is>
          <t>SSO</t>
        </is>
      </c>
      <c r="H15" s="1" t="inlineStr">
        <is>
          <t>Condutores</t>
        </is>
      </c>
      <c r="I15" s="1" t="inlineStr">
        <is>
          <t>SEMANA 01</t>
        </is>
      </c>
      <c r="J15" s="1" t="n"/>
      <c r="K15" s="1" t="inlineStr">
        <is>
          <t xml:space="preserve">KM  </t>
        </is>
      </c>
      <c r="L15" s="1" t="n"/>
      <c r="M15" s="2" t="inlineStr">
        <is>
          <t xml:space="preserve">Validade </t>
        </is>
      </c>
      <c r="N15" s="38" t="inlineStr">
        <is>
          <t>Prox. Lavagem</t>
        </is>
      </c>
    </row>
    <row r="16"/>
    <row r="17">
      <c r="E17" s="295" t="inlineStr">
        <is>
          <t>TN 74 em manutenção</t>
        </is>
      </c>
      <c r="F17" s="323" t="n"/>
      <c r="G17" s="323" t="n"/>
      <c r="H17" s="323" t="n"/>
      <c r="I17" s="324" t="n"/>
    </row>
    <row r="18">
      <c r="E18" s="295" t="inlineStr">
        <is>
          <t xml:space="preserve">TN 03 ÚNICO CARRO CAS DISPONIVEL PRA MINA </t>
        </is>
      </c>
      <c r="F18" s="323" t="n"/>
      <c r="G18" s="323" t="n"/>
      <c r="H18" s="323" t="n"/>
      <c r="I18" s="324" t="n"/>
    </row>
    <row r="19">
      <c r="E19" s="295" t="inlineStr">
        <is>
          <t>TN 04 DEVOLVIDA PRA SINAL 13/02/2025</t>
        </is>
      </c>
      <c r="F19" s="323" t="n"/>
      <c r="G19" s="323" t="n"/>
      <c r="H19" s="323" t="n"/>
      <c r="I19" s="324" t="n"/>
    </row>
    <row r="20">
      <c r="E20" s="295" t="inlineStr">
        <is>
          <t>TN 02 DEVOLVIDA PRA LOCALIZA 07/02/2025</t>
        </is>
      </c>
      <c r="F20" s="323" t="n"/>
      <c r="G20" s="323" t="n"/>
      <c r="H20" s="323" t="n"/>
      <c r="I20" s="324" t="n"/>
    </row>
    <row r="21">
      <c r="E21" s="299" t="inlineStr">
        <is>
          <t>TN 31 e TN 76 necessita balizar telemetria</t>
        </is>
      </c>
      <c r="F21" s="323" t="n"/>
      <c r="G21" s="323" t="n"/>
      <c r="H21" s="323" t="n"/>
      <c r="I21" s="324" t="n"/>
    </row>
    <row r="22">
      <c r="K22" s="1" t="inlineStr">
        <is>
          <t>Tag</t>
        </is>
      </c>
      <c r="L22" s="2" t="inlineStr">
        <is>
          <t xml:space="preserve">Validade </t>
        </is>
      </c>
    </row>
    <row r="23">
      <c r="K23" s="6" t="inlineStr">
        <is>
          <t>TN 03</t>
        </is>
      </c>
      <c r="L23" s="7" t="n">
        <v>45723</v>
      </c>
    </row>
    <row r="24">
      <c r="K24" s="6" t="inlineStr">
        <is>
          <t>TN 75</t>
        </is>
      </c>
      <c r="L24" s="7" t="n">
        <v>45716</v>
      </c>
    </row>
    <row r="25">
      <c r="K25" s="6" t="inlineStr">
        <is>
          <t>TN 31</t>
        </is>
      </c>
      <c r="L25" s="7" t="n">
        <v>45716</v>
      </c>
      <c r="M25" s="296" t="n"/>
    </row>
  </sheetData>
  <mergeCells count="7">
    <mergeCell ref="E21:I21"/>
    <mergeCell ref="M25:N25"/>
    <mergeCell ref="E20:I20"/>
    <mergeCell ref="E19:I19"/>
    <mergeCell ref="A14:N14"/>
    <mergeCell ref="E17:I17"/>
    <mergeCell ref="E18:I18"/>
  </mergeCells>
  <pageMargins left="0.511811024" right="0.511811024" top="0.787401575" bottom="0.787401575" header="0.31496062" footer="0.31496062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E16" sqref="E16:I16"/>
    </sheetView>
  </sheetViews>
  <sheetFormatPr baseColWidth="8" defaultRowHeight="14.3"/>
  <cols>
    <col width="13" customWidth="1" min="1" max="1"/>
    <col width="12.875" customWidth="1" min="2" max="2"/>
    <col width="18.5" bestFit="1" customWidth="1" min="8" max="8"/>
    <col width="10.5" bestFit="1" customWidth="1" min="9" max="9"/>
    <col width="13.875" bestFit="1" customWidth="1" min="12" max="12"/>
    <col width="13" bestFit="1" customWidth="1" min="13" max="13"/>
  </cols>
  <sheetData>
    <row r="1">
      <c r="A1" s="8" t="inlineStr">
        <is>
          <t xml:space="preserve">CONTROLE DE KM - COORDENAÇÃO CIARA ZANELATO 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</row>
    <row r="2">
      <c r="A2" s="36" t="inlineStr">
        <is>
          <t xml:space="preserve">Veículos Cadastrados 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7" t="n"/>
      <c r="K2" s="37" t="n"/>
      <c r="L2" s="37" t="n"/>
    </row>
    <row r="3">
      <c r="A3" s="1" t="inlineStr">
        <is>
          <t>Tipo</t>
        </is>
      </c>
      <c r="B3" s="1" t="inlineStr">
        <is>
          <t xml:space="preserve">Modelos </t>
        </is>
      </c>
      <c r="C3" s="1" t="inlineStr">
        <is>
          <t>Tag</t>
        </is>
      </c>
      <c r="D3" s="1" t="inlineStr">
        <is>
          <t>Locadora</t>
        </is>
      </c>
      <c r="E3" s="1" t="inlineStr">
        <is>
          <t>Localidade</t>
        </is>
      </c>
      <c r="F3" s="1" t="inlineStr">
        <is>
          <t>Placa</t>
        </is>
      </c>
      <c r="G3" s="1" t="inlineStr">
        <is>
          <t>SSO</t>
        </is>
      </c>
      <c r="H3" s="1" t="inlineStr">
        <is>
          <t>Condutores</t>
        </is>
      </c>
      <c r="I3" s="1" t="inlineStr">
        <is>
          <t>SEMANA 02</t>
        </is>
      </c>
      <c r="J3" s="1" t="inlineStr">
        <is>
          <t>KM ANTERIOR</t>
        </is>
      </c>
      <c r="K3" s="1" t="inlineStr">
        <is>
          <t>KM  ATUAL</t>
        </is>
      </c>
      <c r="L3" s="42" t="inlineStr">
        <is>
          <t>Ultima lavagem</t>
        </is>
      </c>
      <c r="M3" s="38" t="inlineStr">
        <is>
          <t>Prox. Lavagem</t>
        </is>
      </c>
    </row>
    <row r="4">
      <c r="A4" s="3" t="inlineStr">
        <is>
          <t>Caminhonete</t>
        </is>
      </c>
      <c r="B4" s="298" t="inlineStr">
        <is>
          <t>CHEVROLET S10</t>
        </is>
      </c>
      <c r="C4" s="3" t="inlineStr">
        <is>
          <t>TN 29</t>
        </is>
      </c>
      <c r="D4" s="3" t="inlineStr">
        <is>
          <t>Sonda</t>
        </is>
      </c>
      <c r="E4" s="3" t="inlineStr">
        <is>
          <t>CKS</t>
        </is>
      </c>
      <c r="F4" s="3" t="inlineStr">
        <is>
          <t>FXR0F35</t>
        </is>
      </c>
      <c r="G4" s="3" t="inlineStr">
        <is>
          <t>CARAJÁS</t>
        </is>
      </c>
      <c r="H4" s="10" t="inlineStr">
        <is>
          <t>JOÃO TAVARES</t>
        </is>
      </c>
      <c r="I4" s="7" t="n">
        <v>45730</v>
      </c>
      <c r="J4" s="18" t="n">
        <v>148691</v>
      </c>
      <c r="K4" s="18" t="n">
        <v>149622</v>
      </c>
      <c r="L4" s="7" t="n">
        <v>45712</v>
      </c>
      <c r="M4" s="7" t="n">
        <v>45733</v>
      </c>
    </row>
    <row r="5">
      <c r="A5" s="6" t="inlineStr">
        <is>
          <t>Caminhonete</t>
        </is>
      </c>
      <c r="B5" s="6" t="inlineStr">
        <is>
          <t xml:space="preserve">L200 - Triton </t>
        </is>
      </c>
      <c r="C5" s="6" t="inlineStr">
        <is>
          <t>TN 31</t>
        </is>
      </c>
      <c r="D5" s="6" t="inlineStr">
        <is>
          <t>SINAL</t>
        </is>
      </c>
      <c r="E5" s="6" t="inlineStr">
        <is>
          <t>CKS</t>
        </is>
      </c>
      <c r="F5" s="6" t="inlineStr">
        <is>
          <t>RXG6G10</t>
        </is>
      </c>
      <c r="G5" s="6" t="inlineStr">
        <is>
          <t>CARAJÁS</t>
        </is>
      </c>
      <c r="H5" s="6" t="inlineStr">
        <is>
          <t>Lucas</t>
        </is>
      </c>
      <c r="I5" s="7" t="n">
        <v>45730</v>
      </c>
      <c r="J5" s="13" t="n">
        <v>51219</v>
      </c>
      <c r="K5" s="13" t="n">
        <v>51496</v>
      </c>
      <c r="L5" s="7" t="n">
        <v>45714</v>
      </c>
      <c r="M5" s="7" t="n">
        <v>45735</v>
      </c>
    </row>
    <row r="6">
      <c r="A6" s="6" t="inlineStr">
        <is>
          <t>Caminhonete</t>
        </is>
      </c>
      <c r="B6" s="6" t="inlineStr">
        <is>
          <t xml:space="preserve">FORD RANGER </t>
        </is>
      </c>
      <c r="C6" s="6" t="inlineStr">
        <is>
          <t>TN 72</t>
        </is>
      </c>
      <c r="D6" s="6" t="inlineStr">
        <is>
          <t>Sonda</t>
        </is>
      </c>
      <c r="E6" s="6" t="inlineStr">
        <is>
          <t>CKS</t>
        </is>
      </c>
      <c r="F6" s="6" t="inlineStr">
        <is>
          <t>FXD9A18</t>
        </is>
      </c>
      <c r="G6" s="6" t="inlineStr">
        <is>
          <t>CARAJÁS</t>
        </is>
      </c>
      <c r="H6" s="6" t="inlineStr">
        <is>
          <t>RAIMUNDO CHARLES</t>
        </is>
      </c>
      <c r="I6" s="7" t="n">
        <v>45730</v>
      </c>
      <c r="J6" s="13" t="n">
        <v>85969</v>
      </c>
      <c r="K6" s="13" t="n">
        <v>86602</v>
      </c>
      <c r="L6" s="7" t="n">
        <v>45715</v>
      </c>
      <c r="M6" s="7" t="n">
        <v>45735</v>
      </c>
    </row>
    <row r="7">
      <c r="A7" s="6" t="inlineStr">
        <is>
          <t>Caminhonete</t>
        </is>
      </c>
      <c r="B7" s="11" t="inlineStr">
        <is>
          <t>NISSAN FRONTIER</t>
        </is>
      </c>
      <c r="C7" s="6" t="inlineStr">
        <is>
          <t>TN 03</t>
        </is>
      </c>
      <c r="D7" s="6" t="inlineStr">
        <is>
          <t>SINAL</t>
        </is>
      </c>
      <c r="E7" s="6" t="inlineStr">
        <is>
          <t>CKS</t>
        </is>
      </c>
      <c r="F7" s="6" t="inlineStr">
        <is>
          <t>RXD1B51</t>
        </is>
      </c>
      <c r="G7" s="6" t="inlineStr">
        <is>
          <t>CARAJÁS</t>
        </is>
      </c>
      <c r="H7" s="6" t="inlineStr">
        <is>
          <t>Lucas</t>
        </is>
      </c>
      <c r="I7" s="7" t="n">
        <v>45730</v>
      </c>
      <c r="J7" s="13" t="n">
        <v>27607</v>
      </c>
      <c r="K7" s="13" t="n">
        <v>27852</v>
      </c>
      <c r="L7" s="7" t="n"/>
      <c r="M7" s="7" t="n">
        <v>45734</v>
      </c>
    </row>
    <row r="8">
      <c r="A8" s="6" t="inlineStr">
        <is>
          <t>Caminhonete</t>
        </is>
      </c>
      <c r="B8" s="11" t="inlineStr">
        <is>
          <t>NISSAN FRONTIER</t>
        </is>
      </c>
      <c r="C8" s="6" t="inlineStr">
        <is>
          <t>TN 74</t>
        </is>
      </c>
      <c r="D8" s="6" t="inlineStr">
        <is>
          <t>SINAL</t>
        </is>
      </c>
      <c r="E8" s="6" t="inlineStr">
        <is>
          <t>CKS</t>
        </is>
      </c>
      <c r="F8" s="6" t="inlineStr">
        <is>
          <t>RXD1B11</t>
        </is>
      </c>
      <c r="G8" s="6" t="inlineStr">
        <is>
          <t>CARAJÁS</t>
        </is>
      </c>
      <c r="H8" s="41" t="inlineStr">
        <is>
          <t>Ederson</t>
        </is>
      </c>
      <c r="I8" s="7" t="n">
        <v>45730</v>
      </c>
      <c r="J8" s="13" t="n">
        <v>40151</v>
      </c>
      <c r="K8" s="13" t="n">
        <v>40589</v>
      </c>
      <c r="L8" s="7" t="n">
        <v>45716</v>
      </c>
      <c r="M8" s="7" t="n">
        <v>45734</v>
      </c>
    </row>
    <row r="9">
      <c r="A9" s="28" t="inlineStr">
        <is>
          <t>Caminhonete</t>
        </is>
      </c>
      <c r="B9" s="295" t="inlineStr">
        <is>
          <t>NISSAN FRONTIER</t>
        </is>
      </c>
      <c r="C9" s="28" t="inlineStr">
        <is>
          <t>TN 75</t>
        </is>
      </c>
      <c r="D9" s="28" t="inlineStr">
        <is>
          <t>SINAL</t>
        </is>
      </c>
      <c r="E9" s="28" t="inlineStr">
        <is>
          <t>CKS</t>
        </is>
      </c>
      <c r="F9" s="28" t="inlineStr">
        <is>
          <t>RXB4A21</t>
        </is>
      </c>
      <c r="G9" s="28" t="inlineStr">
        <is>
          <t>CARAJÁS</t>
        </is>
      </c>
      <c r="H9" s="46" t="inlineStr">
        <is>
          <t>JANDERSON COSTA</t>
        </is>
      </c>
      <c r="I9" s="30" t="n">
        <v>45723</v>
      </c>
      <c r="J9" s="31" t="n">
        <v>77531</v>
      </c>
      <c r="K9" s="31" t="n"/>
      <c r="L9" s="30" t="n">
        <v>45723</v>
      </c>
      <c r="M9" s="30" t="n">
        <v>45729</v>
      </c>
    </row>
    <row r="10">
      <c r="A10" s="6" t="inlineStr">
        <is>
          <t>Caminhonete</t>
        </is>
      </c>
      <c r="B10" s="11" t="inlineStr">
        <is>
          <t>NISSAN FRONTIER</t>
        </is>
      </c>
      <c r="C10" s="6" t="inlineStr">
        <is>
          <t>TN 76</t>
        </is>
      </c>
      <c r="D10" s="6" t="inlineStr">
        <is>
          <t>SINAL</t>
        </is>
      </c>
      <c r="E10" s="6" t="inlineStr">
        <is>
          <t>CKS</t>
        </is>
      </c>
      <c r="F10" s="6" t="inlineStr">
        <is>
          <t>RXD0C41</t>
        </is>
      </c>
      <c r="G10" s="6" t="inlineStr">
        <is>
          <t>CARAJÁS</t>
        </is>
      </c>
      <c r="H10" s="6" t="inlineStr">
        <is>
          <t>WERIKLIS</t>
        </is>
      </c>
      <c r="I10" s="7" t="n">
        <v>45730</v>
      </c>
      <c r="J10" s="13" t="n">
        <v>56501</v>
      </c>
      <c r="K10" s="13" t="n">
        <v>57024</v>
      </c>
      <c r="L10" s="7" t="n">
        <v>45723</v>
      </c>
      <c r="M10" s="7" t="n">
        <v>45733</v>
      </c>
    </row>
    <row r="11">
      <c r="A11" s="6" t="inlineStr">
        <is>
          <t>Caminhonete</t>
        </is>
      </c>
      <c r="B11" s="11" t="inlineStr">
        <is>
          <t>HILLUX</t>
        </is>
      </c>
      <c r="C11" s="6" t="inlineStr">
        <is>
          <t>TN 04</t>
        </is>
      </c>
      <c r="D11" s="6" t="inlineStr">
        <is>
          <t>SINAL</t>
        </is>
      </c>
      <c r="E11" s="6" t="inlineStr">
        <is>
          <t>CKS</t>
        </is>
      </c>
      <c r="F11" s="6" t="inlineStr">
        <is>
          <t>TDM2E37</t>
        </is>
      </c>
      <c r="G11" s="6" t="inlineStr">
        <is>
          <t>CARAJÁS</t>
        </is>
      </c>
      <c r="H11" s="6" t="inlineStr">
        <is>
          <t>MATHEUS</t>
        </is>
      </c>
      <c r="I11" s="7" t="n">
        <v>45730</v>
      </c>
      <c r="J11" s="13" t="n"/>
      <c r="K11" s="13" t="n">
        <v>530</v>
      </c>
      <c r="L11" s="7" t="n"/>
      <c r="M11" s="7" t="n"/>
    </row>
    <row r="12">
      <c r="A12" s="298" t="inlineStr">
        <is>
          <t>Caminhonete</t>
        </is>
      </c>
      <c r="B12" s="6" t="inlineStr">
        <is>
          <t xml:space="preserve">L200 - Triton </t>
        </is>
      </c>
      <c r="C12" s="298" t="inlineStr">
        <is>
          <t>TN 73</t>
        </is>
      </c>
      <c r="D12" s="298" t="inlineStr">
        <is>
          <t>SINAL</t>
        </is>
      </c>
      <c r="E12" s="298" t="inlineStr">
        <is>
          <t>CKS</t>
        </is>
      </c>
      <c r="F12" s="298" t="inlineStr">
        <is>
          <t>RXC2D41</t>
        </is>
      </c>
      <c r="G12" s="298" t="inlineStr">
        <is>
          <t>CARAJÁS</t>
        </is>
      </c>
      <c r="H12" s="298" t="inlineStr">
        <is>
          <t>ROSIVALDO</t>
        </is>
      </c>
      <c r="I12" s="7" t="n">
        <v>45730</v>
      </c>
      <c r="J12" s="13" t="n">
        <v>38941</v>
      </c>
      <c r="K12" s="13" t="n">
        <v>39447</v>
      </c>
      <c r="L12" s="7" t="n">
        <v>45727</v>
      </c>
      <c r="M12" s="7" t="n">
        <v>45733</v>
      </c>
    </row>
    <row r="13">
      <c r="A13" s="292" t="inlineStr">
        <is>
          <t>Veículos - Novos Cadastros</t>
        </is>
      </c>
      <c r="B13" s="323" t="n"/>
      <c r="C13" s="323" t="n"/>
      <c r="D13" s="323" t="n"/>
      <c r="E13" s="323" t="n"/>
      <c r="F13" s="323" t="n"/>
      <c r="G13" s="323" t="n"/>
      <c r="H13" s="323" t="n"/>
      <c r="I13" s="323" t="n"/>
      <c r="J13" s="323" t="n"/>
      <c r="K13" s="323" t="n"/>
      <c r="L13" s="323" t="n"/>
      <c r="M13" s="323" t="n"/>
    </row>
    <row r="14">
      <c r="A14" s="1" t="inlineStr">
        <is>
          <t>Tipo</t>
        </is>
      </c>
      <c r="B14" s="1" t="inlineStr">
        <is>
          <t xml:space="preserve">Modelos </t>
        </is>
      </c>
      <c r="C14" s="1" t="inlineStr">
        <is>
          <t>Tag</t>
        </is>
      </c>
      <c r="D14" s="1" t="inlineStr">
        <is>
          <t>Locadora</t>
        </is>
      </c>
      <c r="E14" s="1" t="inlineStr">
        <is>
          <t>Localidade</t>
        </is>
      </c>
      <c r="F14" s="1" t="inlineStr">
        <is>
          <t>Placa</t>
        </is>
      </c>
      <c r="G14" s="1" t="inlineStr">
        <is>
          <t>SSO</t>
        </is>
      </c>
      <c r="H14" s="1" t="inlineStr">
        <is>
          <t>Condutores</t>
        </is>
      </c>
      <c r="I14" s="1" t="inlineStr">
        <is>
          <t>SEMANA 01</t>
        </is>
      </c>
      <c r="J14" s="1" t="n"/>
      <c r="K14" s="1" t="inlineStr">
        <is>
          <t xml:space="preserve">KM  </t>
        </is>
      </c>
      <c r="L14" s="1" t="n"/>
      <c r="M14" s="38" t="inlineStr">
        <is>
          <t>Prox. Lavagem</t>
        </is>
      </c>
    </row>
    <row r="15"/>
    <row r="16">
      <c r="E16" s="295" t="inlineStr">
        <is>
          <t>TN 75 em manutenção</t>
        </is>
      </c>
      <c r="F16" s="323" t="n"/>
      <c r="G16" s="323" t="n"/>
      <c r="H16" s="323" t="n"/>
      <c r="I16" s="324" t="n"/>
    </row>
    <row r="17">
      <c r="E17" s="295" t="inlineStr">
        <is>
          <t xml:space="preserve">TN 03 ÚNICO CARRO CAS DISPONIVEL PRA MINA </t>
        </is>
      </c>
      <c r="F17" s="323" t="n"/>
      <c r="G17" s="323" t="n"/>
      <c r="H17" s="323" t="n"/>
      <c r="I17" s="324" t="n"/>
    </row>
    <row r="18">
      <c r="E18" s="299" t="inlineStr">
        <is>
          <t>TN 31 e TN 76 necessita balizar telemetria</t>
        </is>
      </c>
      <c r="F18" s="323" t="n"/>
      <c r="G18" s="323" t="n"/>
      <c r="H18" s="323" t="n"/>
      <c r="I18" s="324" t="n"/>
    </row>
    <row r="19"/>
    <row r="20"/>
    <row r="21"/>
    <row r="22">
      <c r="M22" s="297" t="n"/>
    </row>
  </sheetData>
  <mergeCells count="4">
    <mergeCell ref="A13:M13"/>
    <mergeCell ref="E17:I17"/>
    <mergeCell ref="E16:I16"/>
    <mergeCell ref="E18:I18"/>
  </mergeCells>
  <pageMargins left="0.511811024" right="0.511811024" top="0.787401575" bottom="0.787401575" header="0.31496062" footer="0.31496062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M4" sqref="M4"/>
    </sheetView>
  </sheetViews>
  <sheetFormatPr baseColWidth="8" defaultRowHeight="14.3"/>
  <cols>
    <col width="16.125" customWidth="1" min="1" max="1"/>
    <col width="16.375" customWidth="1" min="2" max="2"/>
    <col width="5.5" bestFit="1" customWidth="1" min="3" max="3"/>
    <col width="8.5" bestFit="1" customWidth="1" min="4" max="4"/>
    <col width="9.5" bestFit="1" customWidth="1" min="5" max="5"/>
    <col width="8.875" bestFit="1" customWidth="1" min="6" max="6"/>
    <col width="8.125" bestFit="1" customWidth="1" min="7" max="7"/>
    <col width="18.5" bestFit="1" customWidth="1" min="8" max="8"/>
    <col width="10.5" bestFit="1" customWidth="1" min="9" max="9"/>
    <col width="12.5" bestFit="1" customWidth="1" min="10" max="10"/>
    <col width="10" bestFit="1" customWidth="1" min="11" max="11"/>
    <col width="13.875" bestFit="1" customWidth="1" min="12" max="12"/>
    <col width="13.125" customWidth="1" min="13" max="13"/>
  </cols>
  <sheetData>
    <row r="1">
      <c r="A1" s="8" t="inlineStr">
        <is>
          <t xml:space="preserve">CONTROLE DE KM - COORDENAÇÃO CIARA ZANELATO 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</row>
    <row r="2">
      <c r="A2" s="36" t="inlineStr">
        <is>
          <t xml:space="preserve">Veículos Cadastrados 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7" t="n"/>
      <c r="K2" s="37" t="n"/>
      <c r="L2" s="37" t="n"/>
    </row>
    <row r="3">
      <c r="A3" s="1" t="inlineStr">
        <is>
          <t>Tipo</t>
        </is>
      </c>
      <c r="B3" s="1" t="inlineStr">
        <is>
          <t xml:space="preserve">Modelos </t>
        </is>
      </c>
      <c r="C3" s="1" t="inlineStr">
        <is>
          <t>Tag</t>
        </is>
      </c>
      <c r="D3" s="1" t="inlineStr">
        <is>
          <t>Locadora</t>
        </is>
      </c>
      <c r="E3" s="1" t="inlineStr">
        <is>
          <t>Localidade</t>
        </is>
      </c>
      <c r="F3" s="1" t="inlineStr">
        <is>
          <t>Placa</t>
        </is>
      </c>
      <c r="G3" s="1" t="inlineStr">
        <is>
          <t>SSO</t>
        </is>
      </c>
      <c r="H3" s="1" t="inlineStr">
        <is>
          <t>Condutores</t>
        </is>
      </c>
      <c r="I3" s="1" t="inlineStr">
        <is>
          <t>SEMANA 02</t>
        </is>
      </c>
      <c r="J3" s="1" t="inlineStr">
        <is>
          <t>KM ANTERIOR</t>
        </is>
      </c>
      <c r="K3" s="1" t="inlineStr">
        <is>
          <t>KM  ATUAL</t>
        </is>
      </c>
      <c r="L3" s="42" t="inlineStr">
        <is>
          <t>Ultima lavagem</t>
        </is>
      </c>
      <c r="M3" s="38" t="inlineStr">
        <is>
          <t>Prox. Lavagem</t>
        </is>
      </c>
    </row>
    <row r="4">
      <c r="A4" s="3" t="inlineStr">
        <is>
          <t>Caminhonete</t>
        </is>
      </c>
      <c r="B4" s="298" t="inlineStr">
        <is>
          <t>CHEVROLET S10</t>
        </is>
      </c>
      <c r="C4" s="3" t="inlineStr">
        <is>
          <t>TN 29</t>
        </is>
      </c>
      <c r="D4" s="3" t="inlineStr">
        <is>
          <t>Sonda</t>
        </is>
      </c>
      <c r="E4" s="3" t="inlineStr">
        <is>
          <t>CKS</t>
        </is>
      </c>
      <c r="F4" s="3" t="inlineStr">
        <is>
          <t>FXR0F35</t>
        </is>
      </c>
      <c r="G4" s="3" t="inlineStr">
        <is>
          <t>CARAJÁS</t>
        </is>
      </c>
      <c r="H4" s="10" t="inlineStr">
        <is>
          <t>JOÃO TAVARES</t>
        </is>
      </c>
      <c r="I4" s="7" t="n">
        <v>45737</v>
      </c>
      <c r="J4" s="18" t="n">
        <v>149622</v>
      </c>
      <c r="K4" s="18" t="n">
        <v>150527</v>
      </c>
      <c r="L4" s="7" t="n">
        <v>45734</v>
      </c>
      <c r="M4" s="7" t="n">
        <v>45744</v>
      </c>
    </row>
    <row r="5">
      <c r="A5" s="6" t="inlineStr">
        <is>
          <t>Caminhonete</t>
        </is>
      </c>
      <c r="B5" s="6" t="inlineStr">
        <is>
          <t xml:space="preserve">L200 - Triton </t>
        </is>
      </c>
      <c r="C5" s="6" t="inlineStr">
        <is>
          <t>TN 31</t>
        </is>
      </c>
      <c r="D5" s="6" t="inlineStr">
        <is>
          <t>SINAL</t>
        </is>
      </c>
      <c r="E5" s="6" t="inlineStr">
        <is>
          <t>CKS</t>
        </is>
      </c>
      <c r="F5" s="6" t="inlineStr">
        <is>
          <t>RXG6G10</t>
        </is>
      </c>
      <c r="G5" s="6" t="inlineStr">
        <is>
          <t>CARAJÁS</t>
        </is>
      </c>
      <c r="H5" s="6" t="inlineStr">
        <is>
          <t>Lucas</t>
        </is>
      </c>
      <c r="I5" s="7" t="n">
        <v>45737</v>
      </c>
      <c r="J5" s="13" t="n">
        <v>51496</v>
      </c>
      <c r="K5" s="13" t="n"/>
      <c r="L5" s="7" t="n">
        <v>45714</v>
      </c>
      <c r="M5" s="7" t="n">
        <v>45740</v>
      </c>
    </row>
    <row r="6">
      <c r="A6" s="6" t="inlineStr">
        <is>
          <t>Caminhonete</t>
        </is>
      </c>
      <c r="B6" s="6" t="inlineStr">
        <is>
          <t xml:space="preserve">FORD RANGER </t>
        </is>
      </c>
      <c r="C6" s="6" t="inlineStr">
        <is>
          <t>TN 72</t>
        </is>
      </c>
      <c r="D6" s="6" t="inlineStr">
        <is>
          <t>Sonda</t>
        </is>
      </c>
      <c r="E6" s="6" t="inlineStr">
        <is>
          <t>CKS</t>
        </is>
      </c>
      <c r="F6" s="6" t="inlineStr">
        <is>
          <t>FXD9A18</t>
        </is>
      </c>
      <c r="G6" s="6" t="inlineStr">
        <is>
          <t>CARAJÁS</t>
        </is>
      </c>
      <c r="H6" s="6" t="inlineStr">
        <is>
          <t>RAIMUNDO CHARLES</t>
        </is>
      </c>
      <c r="I6" s="7" t="n">
        <v>45737</v>
      </c>
      <c r="J6" s="13" t="n">
        <v>86602</v>
      </c>
      <c r="K6" s="13" t="n">
        <v>87335</v>
      </c>
      <c r="L6" s="7" t="n">
        <v>45735</v>
      </c>
      <c r="M6" s="7" t="n">
        <v>45744</v>
      </c>
    </row>
    <row r="7">
      <c r="A7" s="6" t="inlineStr">
        <is>
          <t>Caminhonete</t>
        </is>
      </c>
      <c r="B7" s="11" t="inlineStr">
        <is>
          <t>NISSAN FRONTIER</t>
        </is>
      </c>
      <c r="C7" s="6" t="inlineStr">
        <is>
          <t>TN 03</t>
        </is>
      </c>
      <c r="D7" s="6" t="inlineStr">
        <is>
          <t>SINAL</t>
        </is>
      </c>
      <c r="E7" s="6" t="inlineStr">
        <is>
          <t>CKS</t>
        </is>
      </c>
      <c r="F7" s="6" t="inlineStr">
        <is>
          <t>RXD1B51</t>
        </is>
      </c>
      <c r="G7" s="6" t="inlineStr">
        <is>
          <t>CARAJÁS</t>
        </is>
      </c>
      <c r="H7" s="6" t="inlineStr">
        <is>
          <t>Lucas</t>
        </is>
      </c>
      <c r="I7" s="7" t="n">
        <v>45737</v>
      </c>
      <c r="J7" s="13" t="n">
        <v>27852</v>
      </c>
      <c r="K7" s="13" t="n"/>
      <c r="L7" s="7" t="n"/>
      <c r="M7" s="7" t="n"/>
    </row>
    <row r="8">
      <c r="A8" s="6" t="inlineStr">
        <is>
          <t>Caminhonete</t>
        </is>
      </c>
      <c r="B8" s="11" t="inlineStr">
        <is>
          <t>NISSAN FRONTIER</t>
        </is>
      </c>
      <c r="C8" s="6" t="inlineStr">
        <is>
          <t>TN 74</t>
        </is>
      </c>
      <c r="D8" s="6" t="inlineStr">
        <is>
          <t>SINAL</t>
        </is>
      </c>
      <c r="E8" s="6" t="inlineStr">
        <is>
          <t>CKS</t>
        </is>
      </c>
      <c r="F8" s="6" t="inlineStr">
        <is>
          <t>RXD1B11</t>
        </is>
      </c>
      <c r="G8" s="6" t="inlineStr">
        <is>
          <t>CARAJÁS</t>
        </is>
      </c>
      <c r="H8" s="41" t="inlineStr">
        <is>
          <t>Ederson</t>
        </is>
      </c>
      <c r="I8" s="7" t="n">
        <v>45737</v>
      </c>
      <c r="J8" s="13" t="n">
        <v>40589</v>
      </c>
      <c r="K8" s="13" t="n">
        <v>41204</v>
      </c>
      <c r="L8" s="7" t="n">
        <v>45733</v>
      </c>
      <c r="M8" s="7" t="n">
        <v>45740</v>
      </c>
    </row>
    <row r="9">
      <c r="A9" s="6" t="inlineStr">
        <is>
          <t>Caminhonete</t>
        </is>
      </c>
      <c r="B9" s="11" t="inlineStr">
        <is>
          <t>NISSAN FRONTIER</t>
        </is>
      </c>
      <c r="C9" s="6" t="inlineStr">
        <is>
          <t>TN 75</t>
        </is>
      </c>
      <c r="D9" s="6" t="inlineStr">
        <is>
          <t>SINAL</t>
        </is>
      </c>
      <c r="E9" s="6" t="inlineStr">
        <is>
          <t>CKS</t>
        </is>
      </c>
      <c r="F9" s="6" t="inlineStr">
        <is>
          <t>RXB4A21</t>
        </is>
      </c>
      <c r="G9" s="6" t="inlineStr">
        <is>
          <t>CARAJÁS</t>
        </is>
      </c>
      <c r="H9" s="41" t="n"/>
      <c r="I9" s="7" t="n">
        <v>45723</v>
      </c>
      <c r="J9" s="13" t="n">
        <v>77531</v>
      </c>
      <c r="K9" s="13" t="n"/>
      <c r="L9" s="7" t="n">
        <v>45723</v>
      </c>
      <c r="M9" s="7" t="n">
        <v>45740</v>
      </c>
    </row>
    <row r="10">
      <c r="A10" s="6" t="inlineStr">
        <is>
          <t>Caminhonete</t>
        </is>
      </c>
      <c r="B10" s="11" t="inlineStr">
        <is>
          <t>NISSAN FRONTIER</t>
        </is>
      </c>
      <c r="C10" s="6" t="inlineStr">
        <is>
          <t>TN 76</t>
        </is>
      </c>
      <c r="D10" s="6" t="inlineStr">
        <is>
          <t>SINAL</t>
        </is>
      </c>
      <c r="E10" s="6" t="inlineStr">
        <is>
          <t>CKS</t>
        </is>
      </c>
      <c r="F10" s="6" t="inlineStr">
        <is>
          <t>RXD0C41</t>
        </is>
      </c>
      <c r="G10" s="6" t="inlineStr">
        <is>
          <t>CARAJÁS</t>
        </is>
      </c>
      <c r="H10" s="6" t="inlineStr">
        <is>
          <t>WERIKLIS</t>
        </is>
      </c>
      <c r="I10" s="7" t="n">
        <v>45737</v>
      </c>
      <c r="J10" s="13" t="n">
        <v>57024</v>
      </c>
      <c r="K10" s="13" t="n"/>
      <c r="L10" s="7" t="n">
        <v>45723</v>
      </c>
      <c r="M10" s="7" t="n">
        <v>45741</v>
      </c>
    </row>
    <row r="11">
      <c r="A11" s="6" t="inlineStr">
        <is>
          <t>Caminhonete</t>
        </is>
      </c>
      <c r="B11" s="11" t="inlineStr">
        <is>
          <t>HILLUX</t>
        </is>
      </c>
      <c r="C11" s="6" t="inlineStr">
        <is>
          <t>TN 04</t>
        </is>
      </c>
      <c r="D11" s="6" t="inlineStr">
        <is>
          <t>SINAL</t>
        </is>
      </c>
      <c r="E11" s="6" t="inlineStr">
        <is>
          <t>CKS</t>
        </is>
      </c>
      <c r="F11" s="6" t="inlineStr">
        <is>
          <t>TDM2E37</t>
        </is>
      </c>
      <c r="G11" s="6" t="inlineStr">
        <is>
          <t>CARAJÁS</t>
        </is>
      </c>
      <c r="H11" s="6" t="inlineStr">
        <is>
          <t>MATHEUS</t>
        </is>
      </c>
      <c r="I11" s="7" t="n">
        <v>45737</v>
      </c>
      <c r="J11" s="13" t="n">
        <v>530</v>
      </c>
      <c r="K11" s="13" t="n">
        <v>985</v>
      </c>
      <c r="L11" s="7" t="n"/>
      <c r="M11" s="7" t="n">
        <v>45742</v>
      </c>
    </row>
    <row r="12">
      <c r="A12" s="6" t="inlineStr">
        <is>
          <t>Leve</t>
        </is>
      </c>
      <c r="B12" s="11" t="inlineStr">
        <is>
          <t>Tracker</t>
        </is>
      </c>
      <c r="C12" s="6" t="inlineStr">
        <is>
          <t>TN 01</t>
        </is>
      </c>
      <c r="D12" s="6" t="inlineStr">
        <is>
          <t>Localiza</t>
        </is>
      </c>
      <c r="E12" s="6" t="inlineStr">
        <is>
          <t>CKS</t>
        </is>
      </c>
      <c r="F12" s="6" t="inlineStr">
        <is>
          <t>TCO2C15</t>
        </is>
      </c>
      <c r="G12" s="6" t="inlineStr">
        <is>
          <t>CARAJÁS</t>
        </is>
      </c>
      <c r="H12" s="6" t="inlineStr">
        <is>
          <t>Fabricio Maia</t>
        </is>
      </c>
      <c r="I12" s="7" t="n">
        <v>45737</v>
      </c>
      <c r="J12" s="13" t="n"/>
      <c r="K12" s="13" t="n"/>
      <c r="L12" s="7" t="n"/>
      <c r="M12" s="7" t="n"/>
    </row>
    <row r="13">
      <c r="A13" s="298" t="inlineStr">
        <is>
          <t>Caminhonete</t>
        </is>
      </c>
      <c r="B13" s="6" t="inlineStr">
        <is>
          <t xml:space="preserve">L200 - Triton </t>
        </is>
      </c>
      <c r="C13" s="298" t="inlineStr">
        <is>
          <t>TN 73</t>
        </is>
      </c>
      <c r="D13" s="298" t="inlineStr">
        <is>
          <t>SINAL</t>
        </is>
      </c>
      <c r="E13" s="298" t="inlineStr">
        <is>
          <t>CKS</t>
        </is>
      </c>
      <c r="F13" s="298" t="inlineStr">
        <is>
          <t>RXC2D41</t>
        </is>
      </c>
      <c r="G13" s="298" t="inlineStr">
        <is>
          <t>CARAJÁS</t>
        </is>
      </c>
      <c r="H13" s="298" t="inlineStr">
        <is>
          <t>ROSIVALDO</t>
        </is>
      </c>
      <c r="I13" s="7" t="n">
        <v>45737</v>
      </c>
      <c r="J13" s="13" t="n">
        <v>39447</v>
      </c>
      <c r="K13" s="13" t="n">
        <v>39685</v>
      </c>
      <c r="L13" s="7" t="n">
        <v>45727</v>
      </c>
      <c r="M13" s="7" t="n">
        <v>45740</v>
      </c>
    </row>
    <row r="14">
      <c r="A14" s="292" t="inlineStr">
        <is>
          <t>Veículos - Novos Cadastros</t>
        </is>
      </c>
      <c r="B14" s="323" t="n"/>
      <c r="C14" s="323" t="n"/>
      <c r="D14" s="323" t="n"/>
      <c r="E14" s="323" t="n"/>
      <c r="F14" s="323" t="n"/>
      <c r="G14" s="323" t="n"/>
      <c r="H14" s="323" t="n"/>
      <c r="I14" s="323" t="n"/>
      <c r="J14" s="323" t="n"/>
      <c r="K14" s="323" t="n"/>
      <c r="L14" s="323" t="n"/>
      <c r="M14" s="323" t="n"/>
    </row>
    <row r="15">
      <c r="A15" s="1" t="inlineStr">
        <is>
          <t>Tipo</t>
        </is>
      </c>
      <c r="B15" s="1" t="inlineStr">
        <is>
          <t xml:space="preserve">Modelos </t>
        </is>
      </c>
      <c r="C15" s="1" t="inlineStr">
        <is>
          <t>Tag</t>
        </is>
      </c>
      <c r="D15" s="1" t="inlineStr">
        <is>
          <t>Locadora</t>
        </is>
      </c>
      <c r="E15" s="1" t="inlineStr">
        <is>
          <t>Localidade</t>
        </is>
      </c>
      <c r="F15" s="1" t="inlineStr">
        <is>
          <t>Placa</t>
        </is>
      </c>
      <c r="G15" s="1" t="inlineStr">
        <is>
          <t>SSO</t>
        </is>
      </c>
      <c r="H15" s="1" t="inlineStr">
        <is>
          <t>Condutores</t>
        </is>
      </c>
      <c r="I15" s="1" t="inlineStr">
        <is>
          <t>SEMANA 01</t>
        </is>
      </c>
      <c r="J15" s="1" t="n"/>
      <c r="K15" s="1" t="inlineStr">
        <is>
          <t xml:space="preserve">KM  </t>
        </is>
      </c>
      <c r="L15" s="1" t="n"/>
      <c r="M15" s="38" t="inlineStr">
        <is>
          <t>Prox. Lavagem</t>
        </is>
      </c>
    </row>
    <row r="16"/>
    <row r="17"/>
    <row r="18">
      <c r="E18" s="295" t="inlineStr">
        <is>
          <t xml:space="preserve">TN 03 ÚNICO CARRO CAS DISPONIVEL PRA MINA </t>
        </is>
      </c>
      <c r="F18" s="323" t="n"/>
      <c r="G18" s="323" t="n"/>
      <c r="H18" s="323" t="n"/>
      <c r="I18" s="324" t="n"/>
    </row>
    <row r="19">
      <c r="E19" s="299" t="inlineStr">
        <is>
          <t>TN 31 e TN 76 necessita balizar telemetria</t>
        </is>
      </c>
      <c r="F19" s="323" t="n"/>
      <c r="G19" s="323" t="n"/>
      <c r="H19" s="323" t="n"/>
      <c r="I19" s="324" t="n"/>
    </row>
    <row r="20">
      <c r="E20" s="299" t="inlineStr">
        <is>
          <t>TN 72 desceu pra manutenção 21/03</t>
        </is>
      </c>
      <c r="F20" s="323" t="n"/>
      <c r="G20" s="323" t="n"/>
      <c r="H20" s="323" t="n"/>
      <c r="I20" s="324" t="n"/>
    </row>
  </sheetData>
  <mergeCells count="4">
    <mergeCell ref="E20:I20"/>
    <mergeCell ref="E19:I19"/>
    <mergeCell ref="A14:M14"/>
    <mergeCell ref="E18:I18"/>
  </mergeCells>
  <pageMargins left="0.511811024" right="0.511811024" top="0.787401575" bottom="0.787401575" header="0.31496062" footer="0.31496062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M4" sqref="M4"/>
    </sheetView>
  </sheetViews>
  <sheetFormatPr baseColWidth="8" defaultRowHeight="14.3"/>
  <cols>
    <col width="18.375" customWidth="1" min="1" max="1"/>
    <col width="15.625" bestFit="1" customWidth="1" min="2" max="2"/>
    <col width="18.5" bestFit="1" customWidth="1" min="8" max="8"/>
    <col width="10.5" bestFit="1" customWidth="1" min="9" max="9"/>
    <col width="12.5" bestFit="1" customWidth="1" min="10" max="10"/>
    <col width="13.5" customWidth="1" min="11" max="11"/>
    <col width="13.875" bestFit="1" customWidth="1" min="12" max="12"/>
    <col width="21.625" bestFit="1" customWidth="1" min="13" max="13"/>
    <col width="13" bestFit="1" customWidth="1" min="14" max="14"/>
  </cols>
  <sheetData>
    <row r="1">
      <c r="A1" s="8" t="inlineStr">
        <is>
          <t xml:space="preserve">CONTROLE DE KM - COORDENAÇÃO CIARA ZANELATO 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</row>
    <row r="2">
      <c r="A2" s="36" t="inlineStr">
        <is>
          <t xml:space="preserve">Veículos Cadastrados 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7" t="n"/>
      <c r="K2" s="37" t="n"/>
      <c r="L2" s="37" t="n"/>
      <c r="M2" s="49" t="n"/>
    </row>
    <row r="3">
      <c r="A3" s="1" t="inlineStr">
        <is>
          <t>Tipo</t>
        </is>
      </c>
      <c r="B3" s="1" t="inlineStr">
        <is>
          <t xml:space="preserve">Modelos </t>
        </is>
      </c>
      <c r="C3" s="1" t="inlineStr">
        <is>
          <t>Tag</t>
        </is>
      </c>
      <c r="D3" s="1" t="inlineStr">
        <is>
          <t>Locadora</t>
        </is>
      </c>
      <c r="E3" s="1" t="inlineStr">
        <is>
          <t>Localidade</t>
        </is>
      </c>
      <c r="F3" s="1" t="inlineStr">
        <is>
          <t>Placa</t>
        </is>
      </c>
      <c r="G3" s="1" t="inlineStr">
        <is>
          <t>SSO</t>
        </is>
      </c>
      <c r="H3" s="1" t="inlineStr">
        <is>
          <t>Condutores</t>
        </is>
      </c>
      <c r="I3" s="1" t="inlineStr">
        <is>
          <t>SEMANA 02</t>
        </is>
      </c>
      <c r="J3" s="1" t="inlineStr">
        <is>
          <t>KM ANTERIOR</t>
        </is>
      </c>
      <c r="K3" s="1" t="inlineStr">
        <is>
          <t>KM  ATUAL</t>
        </is>
      </c>
      <c r="L3" s="42" t="inlineStr">
        <is>
          <t>Ultima lavagem</t>
        </is>
      </c>
      <c r="M3" s="50" t="inlineStr">
        <is>
          <t>lavagem programada S-1</t>
        </is>
      </c>
      <c r="N3" s="38" t="inlineStr">
        <is>
          <t>Prox. Lavagem</t>
        </is>
      </c>
    </row>
    <row r="4">
      <c r="A4" s="3" t="inlineStr">
        <is>
          <t>Caminhonete</t>
        </is>
      </c>
      <c r="B4" s="298" t="inlineStr">
        <is>
          <t>CHEVROLET S10</t>
        </is>
      </c>
      <c r="C4" s="3" t="inlineStr">
        <is>
          <t>TN 29</t>
        </is>
      </c>
      <c r="D4" s="3" t="inlineStr">
        <is>
          <t>Sonda</t>
        </is>
      </c>
      <c r="E4" s="3" t="inlineStr">
        <is>
          <t>CKS</t>
        </is>
      </c>
      <c r="F4" s="3" t="inlineStr">
        <is>
          <t>FXR0F35</t>
        </is>
      </c>
      <c r="G4" s="3" t="inlineStr">
        <is>
          <t>CARAJÁS</t>
        </is>
      </c>
      <c r="H4" s="10" t="inlineStr">
        <is>
          <t>JOÃO TAVARES</t>
        </is>
      </c>
      <c r="I4" s="7" t="n">
        <v>45744</v>
      </c>
      <c r="J4" s="18" t="n">
        <v>150527</v>
      </c>
      <c r="K4" s="18" t="n">
        <v>151454</v>
      </c>
      <c r="L4" s="7" t="n">
        <v>45734</v>
      </c>
      <c r="M4" s="7" t="inlineStr">
        <is>
          <t>28/03/2025 - pendente</t>
        </is>
      </c>
      <c r="N4" s="7" t="n">
        <v>45751</v>
      </c>
    </row>
    <row r="5" customFormat="1" s="47">
      <c r="A5" s="25" t="inlineStr">
        <is>
          <t>Caminhonete</t>
        </is>
      </c>
      <c r="B5" s="25" t="inlineStr">
        <is>
          <t xml:space="preserve">L200 - Triton </t>
        </is>
      </c>
      <c r="C5" s="25" t="inlineStr">
        <is>
          <t>TN 31</t>
        </is>
      </c>
      <c r="D5" s="25" t="inlineStr">
        <is>
          <t>SINAL</t>
        </is>
      </c>
      <c r="E5" s="25" t="inlineStr">
        <is>
          <t>CKS</t>
        </is>
      </c>
      <c r="F5" s="25" t="inlineStr">
        <is>
          <t>RXG6G10</t>
        </is>
      </c>
      <c r="G5" s="25" t="inlineStr">
        <is>
          <t>CARAJÁS</t>
        </is>
      </c>
      <c r="H5" s="25" t="inlineStr">
        <is>
          <t>Lucas</t>
        </is>
      </c>
      <c r="I5" s="15" t="n">
        <v>45744</v>
      </c>
      <c r="J5" s="16" t="n">
        <v>51496</v>
      </c>
      <c r="K5" s="16" t="n">
        <v>53085</v>
      </c>
      <c r="L5" s="15" t="n">
        <v>45714</v>
      </c>
      <c r="M5" s="15" t="inlineStr">
        <is>
          <t>28/03/2025 - pendente</t>
        </is>
      </c>
      <c r="N5" s="15" t="n">
        <v>45751</v>
      </c>
    </row>
    <row r="6">
      <c r="A6" s="6" t="inlineStr">
        <is>
          <t>Caminhonete</t>
        </is>
      </c>
      <c r="B6" s="6" t="inlineStr">
        <is>
          <t xml:space="preserve">FORD RANGER </t>
        </is>
      </c>
      <c r="C6" s="6" t="inlineStr">
        <is>
          <t>TN 72</t>
        </is>
      </c>
      <c r="D6" s="6" t="inlineStr">
        <is>
          <t>Sonda</t>
        </is>
      </c>
      <c r="E6" s="6" t="inlineStr">
        <is>
          <t>CKS</t>
        </is>
      </c>
      <c r="F6" s="6" t="inlineStr">
        <is>
          <t>FXD9A18</t>
        </is>
      </c>
      <c r="G6" s="6" t="inlineStr">
        <is>
          <t>CARAJÁS</t>
        </is>
      </c>
      <c r="H6" s="6" t="inlineStr">
        <is>
          <t>RAIMUNDO CHARLES</t>
        </is>
      </c>
      <c r="I6" s="7" t="n">
        <v>45744</v>
      </c>
      <c r="J6" s="13" t="n">
        <v>87335</v>
      </c>
      <c r="K6" s="13" t="n">
        <v>87794</v>
      </c>
      <c r="L6" s="7" t="n">
        <v>45740</v>
      </c>
      <c r="M6" s="7" t="inlineStr">
        <is>
          <t>24/03 -28/03 - ok</t>
        </is>
      </c>
      <c r="N6" s="7" t="n">
        <v>45749</v>
      </c>
    </row>
    <row r="7" customFormat="1" s="47">
      <c r="A7" s="25" t="inlineStr">
        <is>
          <t>Caminhonete</t>
        </is>
      </c>
      <c r="B7" s="14" t="inlineStr">
        <is>
          <t>NISSAN FRONTIER</t>
        </is>
      </c>
      <c r="C7" s="25" t="inlineStr">
        <is>
          <t>TN 03</t>
        </is>
      </c>
      <c r="D7" s="25" t="inlineStr">
        <is>
          <t>SINAL</t>
        </is>
      </c>
      <c r="E7" s="25" t="inlineStr">
        <is>
          <t>CKS</t>
        </is>
      </c>
      <c r="F7" s="25" t="inlineStr">
        <is>
          <t>RXD1B51</t>
        </is>
      </c>
      <c r="G7" s="25" t="inlineStr">
        <is>
          <t>CARAJÁS</t>
        </is>
      </c>
      <c r="H7" s="25" t="inlineStr">
        <is>
          <t>Lucas</t>
        </is>
      </c>
      <c r="I7" s="15" t="n">
        <v>45744</v>
      </c>
      <c r="J7" s="16" t="n">
        <v>27852</v>
      </c>
      <c r="K7" s="16" t="n">
        <v>28583</v>
      </c>
      <c r="L7" s="15" t="n"/>
      <c r="M7" s="15" t="n"/>
      <c r="N7" s="15" t="n">
        <v>45751</v>
      </c>
    </row>
    <row r="8">
      <c r="A8" s="6" t="inlineStr">
        <is>
          <t>Caminhonete</t>
        </is>
      </c>
      <c r="B8" s="11" t="inlineStr">
        <is>
          <t>NISSAN FRONTIER</t>
        </is>
      </c>
      <c r="C8" s="6" t="inlineStr">
        <is>
          <t>TN 74</t>
        </is>
      </c>
      <c r="D8" s="6" t="inlineStr">
        <is>
          <t>SINAL</t>
        </is>
      </c>
      <c r="E8" s="6" t="inlineStr">
        <is>
          <t>CKS</t>
        </is>
      </c>
      <c r="F8" s="6" t="inlineStr">
        <is>
          <t>RXD1B11</t>
        </is>
      </c>
      <c r="G8" s="6" t="inlineStr">
        <is>
          <t>CARAJÁS</t>
        </is>
      </c>
      <c r="H8" s="41" t="inlineStr">
        <is>
          <t>Ederson</t>
        </is>
      </c>
      <c r="I8" s="7" t="n">
        <v>45744</v>
      </c>
      <c r="J8" s="13" t="n">
        <v>41204</v>
      </c>
      <c r="K8" s="13" t="n">
        <v>42080</v>
      </c>
      <c r="L8" s="7" t="n">
        <v>45742</v>
      </c>
      <c r="M8" s="7" t="inlineStr">
        <is>
          <t>24/03 - 26/03 ok</t>
        </is>
      </c>
      <c r="N8" s="7" t="n">
        <v>45749</v>
      </c>
    </row>
    <row r="9" customFormat="1" s="47">
      <c r="A9" s="25" t="inlineStr">
        <is>
          <t>Caminhonete</t>
        </is>
      </c>
      <c r="B9" s="14" t="inlineStr">
        <is>
          <t>NISSAN FRONTIER</t>
        </is>
      </c>
      <c r="C9" s="25" t="inlineStr">
        <is>
          <t>TN 75</t>
        </is>
      </c>
      <c r="D9" s="25" t="inlineStr">
        <is>
          <t>SINAL</t>
        </is>
      </c>
      <c r="E9" s="25" t="inlineStr">
        <is>
          <t>CKS</t>
        </is>
      </c>
      <c r="F9" s="25" t="inlineStr">
        <is>
          <t>RXB4A21</t>
        </is>
      </c>
      <c r="G9" s="25" t="inlineStr">
        <is>
          <t>CARAJÁS</t>
        </is>
      </c>
      <c r="H9" s="48" t="n"/>
      <c r="I9" s="15" t="n">
        <v>45744</v>
      </c>
      <c r="J9" s="16" t="n">
        <v>77531</v>
      </c>
      <c r="K9" s="16" t="n">
        <v>78305</v>
      </c>
      <c r="L9" s="15" t="n">
        <v>45723</v>
      </c>
      <c r="M9" s="15" t="inlineStr">
        <is>
          <t>24/03/2025 - pendente</t>
        </is>
      </c>
      <c r="N9" s="15" t="n">
        <v>45751</v>
      </c>
    </row>
    <row r="10">
      <c r="A10" s="6" t="inlineStr">
        <is>
          <t>Caminhonete</t>
        </is>
      </c>
      <c r="B10" s="11" t="inlineStr">
        <is>
          <t>NISSAN FRONTIER</t>
        </is>
      </c>
      <c r="C10" s="6" t="inlineStr">
        <is>
          <t>TN 76</t>
        </is>
      </c>
      <c r="D10" s="6" t="inlineStr">
        <is>
          <t>SINAL</t>
        </is>
      </c>
      <c r="E10" s="6" t="inlineStr">
        <is>
          <t>CKS</t>
        </is>
      </c>
      <c r="F10" s="6" t="inlineStr">
        <is>
          <t>RXD0C41</t>
        </is>
      </c>
      <c r="G10" s="6" t="inlineStr">
        <is>
          <t>CARAJÁS</t>
        </is>
      </c>
      <c r="H10" s="6" t="inlineStr">
        <is>
          <t>WERIKLIS</t>
        </is>
      </c>
      <c r="I10" s="7" t="n">
        <v>45744</v>
      </c>
      <c r="J10" s="13" t="n">
        <v>57024</v>
      </c>
      <c r="K10" s="13" t="n">
        <v>57842</v>
      </c>
      <c r="L10" s="7" t="n">
        <v>45723</v>
      </c>
      <c r="M10" s="7" t="inlineStr">
        <is>
          <t>25/03/2025 - pendente</t>
        </is>
      </c>
      <c r="N10" s="7" t="n">
        <v>45747</v>
      </c>
    </row>
    <row r="11" customFormat="1" s="47">
      <c r="A11" s="25" t="inlineStr">
        <is>
          <t>Caminhonete</t>
        </is>
      </c>
      <c r="B11" s="14" t="inlineStr">
        <is>
          <t>HILLUX</t>
        </is>
      </c>
      <c r="C11" s="25" t="inlineStr">
        <is>
          <t>TN 04</t>
        </is>
      </c>
      <c r="D11" s="25" t="inlineStr">
        <is>
          <t>SINAL</t>
        </is>
      </c>
      <c r="E11" s="25" t="inlineStr">
        <is>
          <t>CKS</t>
        </is>
      </c>
      <c r="F11" s="25" t="inlineStr">
        <is>
          <t>TDM2E37</t>
        </is>
      </c>
      <c r="G11" s="25" t="inlineStr">
        <is>
          <t>CARAJÁS</t>
        </is>
      </c>
      <c r="H11" s="25" t="inlineStr">
        <is>
          <t>MATHEUS</t>
        </is>
      </c>
      <c r="I11" s="15" t="n">
        <v>45744</v>
      </c>
      <c r="J11" s="16" t="n">
        <v>985</v>
      </c>
      <c r="K11" s="16" t="n">
        <v>1364</v>
      </c>
      <c r="L11" s="15" t="n"/>
      <c r="M11" s="15" t="inlineStr">
        <is>
          <t>26/03/2025 - pendente</t>
        </is>
      </c>
      <c r="N11" s="15" t="n">
        <v>45751</v>
      </c>
    </row>
    <row r="12">
      <c r="A12" s="6" t="inlineStr">
        <is>
          <t>Leve</t>
        </is>
      </c>
      <c r="B12" s="11" t="inlineStr">
        <is>
          <t>Tracker</t>
        </is>
      </c>
      <c r="C12" s="6" t="inlineStr">
        <is>
          <t>TN 01</t>
        </is>
      </c>
      <c r="D12" s="6" t="inlineStr">
        <is>
          <t>Localiza</t>
        </is>
      </c>
      <c r="E12" s="6" t="inlineStr">
        <is>
          <t>CKS</t>
        </is>
      </c>
      <c r="F12" s="6" t="inlineStr">
        <is>
          <t>TCO2C15</t>
        </is>
      </c>
      <c r="G12" s="6" t="inlineStr">
        <is>
          <t>CARAJÁS</t>
        </is>
      </c>
      <c r="H12" s="6" t="inlineStr">
        <is>
          <t>Fabricio Maia</t>
        </is>
      </c>
      <c r="I12" s="7" t="n">
        <v>45744</v>
      </c>
      <c r="J12" s="13" t="n"/>
      <c r="K12" s="13" t="n"/>
      <c r="L12" s="7" t="n"/>
      <c r="M12" s="7" t="n"/>
      <c r="N12" s="7" t="n"/>
    </row>
    <row r="13">
      <c r="A13" s="298" t="inlineStr">
        <is>
          <t>Caminhonete</t>
        </is>
      </c>
      <c r="B13" s="6" t="inlineStr">
        <is>
          <t xml:space="preserve">L200 - Triton </t>
        </is>
      </c>
      <c r="C13" s="298" t="inlineStr">
        <is>
          <t>TN 73</t>
        </is>
      </c>
      <c r="D13" s="298" t="inlineStr">
        <is>
          <t>SINAL</t>
        </is>
      </c>
      <c r="E13" s="298" t="inlineStr">
        <is>
          <t>CKS</t>
        </is>
      </c>
      <c r="F13" s="298" t="inlineStr">
        <is>
          <t>RXC2D41</t>
        </is>
      </c>
      <c r="G13" s="298" t="inlineStr">
        <is>
          <t>CARAJÁS</t>
        </is>
      </c>
      <c r="H13" s="298" t="inlineStr">
        <is>
          <t>ROSIVALDO</t>
        </is>
      </c>
      <c r="I13" s="7" t="n">
        <v>45744</v>
      </c>
      <c r="J13" s="13" t="n">
        <v>39685</v>
      </c>
      <c r="K13" s="13" t="inlineStr">
        <is>
          <t>manutenção</t>
        </is>
      </c>
      <c r="L13" s="7" t="n">
        <v>45727</v>
      </c>
      <c r="M13" s="7" t="inlineStr">
        <is>
          <t>24/03/2025 - pendente</t>
        </is>
      </c>
      <c r="N13" s="7" t="n">
        <v>45751</v>
      </c>
    </row>
    <row r="14">
      <c r="A14" s="292" t="inlineStr">
        <is>
          <t>Veículos - Novos Cadastros</t>
        </is>
      </c>
      <c r="B14" s="323" t="n"/>
      <c r="C14" s="323" t="n"/>
      <c r="D14" s="323" t="n"/>
      <c r="E14" s="323" t="n"/>
      <c r="F14" s="323" t="n"/>
      <c r="G14" s="323" t="n"/>
      <c r="H14" s="323" t="n"/>
      <c r="I14" s="323" t="n"/>
      <c r="J14" s="323" t="n"/>
      <c r="K14" s="323" t="n"/>
      <c r="L14" s="323" t="n"/>
      <c r="M14" s="323" t="n"/>
      <c r="N14" s="323" t="n"/>
    </row>
    <row r="15">
      <c r="A15" s="1" t="inlineStr">
        <is>
          <t>Tipo</t>
        </is>
      </c>
      <c r="B15" s="1" t="inlineStr">
        <is>
          <t xml:space="preserve">Modelos </t>
        </is>
      </c>
      <c r="C15" s="1" t="inlineStr">
        <is>
          <t>Tag</t>
        </is>
      </c>
      <c r="D15" s="1" t="inlineStr">
        <is>
          <t>Locadora</t>
        </is>
      </c>
      <c r="E15" s="1" t="inlineStr">
        <is>
          <t>Localidade</t>
        </is>
      </c>
      <c r="F15" s="1" t="inlineStr">
        <is>
          <t>Placa</t>
        </is>
      </c>
      <c r="G15" s="1" t="inlineStr">
        <is>
          <t>SSO</t>
        </is>
      </c>
      <c r="H15" s="1" t="inlineStr">
        <is>
          <t>Condutores</t>
        </is>
      </c>
      <c r="I15" s="1" t="inlineStr">
        <is>
          <t>SEMANA 01</t>
        </is>
      </c>
      <c r="J15" s="1" t="n"/>
      <c r="K15" s="1" t="inlineStr">
        <is>
          <t xml:space="preserve">KM  </t>
        </is>
      </c>
      <c r="L15" s="1" t="n"/>
      <c r="M15" s="1" t="n"/>
      <c r="N15" s="38" t="inlineStr">
        <is>
          <t>Prox. Lavagem</t>
        </is>
      </c>
    </row>
    <row r="16"/>
    <row r="17">
      <c r="E17" s="302" t="inlineStr">
        <is>
          <t>TN 73 manutenção</t>
        </is>
      </c>
      <c r="F17" s="323" t="n"/>
      <c r="G17" s="323" t="n"/>
      <c r="H17" s="323" t="n"/>
      <c r="I17" s="324" t="n"/>
    </row>
    <row r="18">
      <c r="E18" s="295" t="inlineStr">
        <is>
          <t xml:space="preserve">TN 03 ÚNICO CARRO CAS DISPONIVEL PRA MINA </t>
        </is>
      </c>
      <c r="F18" s="323" t="n"/>
      <c r="G18" s="323" t="n"/>
      <c r="H18" s="323" t="n"/>
      <c r="I18" s="324" t="n"/>
    </row>
    <row r="19">
      <c r="E19" s="299" t="inlineStr">
        <is>
          <t>TN 31 e TN 76 necessita balizar telemetria</t>
        </is>
      </c>
      <c r="F19" s="323" t="n"/>
      <c r="G19" s="323" t="n"/>
      <c r="H19" s="323" t="n"/>
      <c r="I19" s="324" t="n"/>
    </row>
    <row r="20">
      <c r="E20" s="299" t="inlineStr">
        <is>
          <t>TN 72 voltou pra operação segunda feira</t>
        </is>
      </c>
      <c r="F20" s="323" t="n"/>
      <c r="G20" s="323" t="n"/>
      <c r="H20" s="323" t="n"/>
      <c r="I20" s="324" t="n"/>
    </row>
    <row r="21" ht="48.9" customHeight="1">
      <c r="E21" s="300" t="inlineStr">
        <is>
          <t>TN 31/ TN 03/ TN 75 / TN 04 não foram lavadas devido a mudança do contrato do lavador, lavagem reprogramada para dia 28/03 e 29/03</t>
        </is>
      </c>
      <c r="F21" s="323" t="n"/>
      <c r="G21" s="323" t="n"/>
      <c r="H21" s="323" t="n"/>
      <c r="I21" s="324" t="n"/>
    </row>
  </sheetData>
  <mergeCells count="6">
    <mergeCell ref="E21:I21"/>
    <mergeCell ref="E20:I20"/>
    <mergeCell ref="E19:I19"/>
    <mergeCell ref="A14:N14"/>
    <mergeCell ref="E17:I17"/>
    <mergeCell ref="E18:I18"/>
  </mergeCells>
  <pageMargins left="0.511811024" right="0.511811024" top="0.787401575" bottom="0.787401575" header="0.31496062" footer="0.31496062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L15" sqref="L15"/>
    </sheetView>
  </sheetViews>
  <sheetFormatPr baseColWidth="8" defaultRowHeight="14.3"/>
  <cols>
    <col width="19.375" bestFit="1" customWidth="1" min="1" max="1"/>
    <col width="15.625" bestFit="1" customWidth="1" min="2" max="2"/>
    <col width="13.875" bestFit="1" customWidth="1" min="6" max="6"/>
    <col width="18.5" bestFit="1" customWidth="1" min="8" max="8"/>
    <col width="10.5" bestFit="1" customWidth="1" min="9" max="9"/>
    <col width="12.5" bestFit="1" customWidth="1" min="10" max="10"/>
    <col width="11.375" bestFit="1" customWidth="1" min="11" max="11"/>
    <col width="13.875" bestFit="1" customWidth="1" min="12" max="12"/>
    <col width="21.625" bestFit="1" customWidth="1" min="13" max="13"/>
    <col width="13" bestFit="1" customWidth="1" min="14" max="14"/>
  </cols>
  <sheetData>
    <row r="1">
      <c r="A1" s="36" t="inlineStr">
        <is>
          <t xml:space="preserve">Veículos Cadastrados 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49" t="n"/>
    </row>
    <row r="2">
      <c r="A2" s="1" t="inlineStr">
        <is>
          <t>Tipo</t>
        </is>
      </c>
      <c r="B2" s="1" t="inlineStr">
        <is>
          <t xml:space="preserve">Modelos </t>
        </is>
      </c>
      <c r="C2" s="1" t="inlineStr">
        <is>
          <t>Tag</t>
        </is>
      </c>
      <c r="D2" s="1" t="inlineStr">
        <is>
          <t>Locadora</t>
        </is>
      </c>
      <c r="E2" s="1" t="inlineStr">
        <is>
          <t>Localidade</t>
        </is>
      </c>
      <c r="F2" s="1" t="inlineStr">
        <is>
          <t>Placa</t>
        </is>
      </c>
      <c r="G2" s="1" t="inlineStr">
        <is>
          <t>SSO</t>
        </is>
      </c>
      <c r="H2" s="1" t="inlineStr">
        <is>
          <t>Condutores</t>
        </is>
      </c>
      <c r="I2" s="1" t="inlineStr">
        <is>
          <t>SEMANA 01</t>
        </is>
      </c>
      <c r="J2" s="1" t="inlineStr">
        <is>
          <t>KM ANTERIOR</t>
        </is>
      </c>
      <c r="K2" s="1" t="inlineStr">
        <is>
          <t>KM  ATUAL</t>
        </is>
      </c>
      <c r="L2" s="42" t="inlineStr">
        <is>
          <t>Ultima lavagem</t>
        </is>
      </c>
      <c r="M2" s="50" t="inlineStr">
        <is>
          <t>lavagem programada S-1</t>
        </is>
      </c>
      <c r="N2" s="38" t="inlineStr">
        <is>
          <t>Prox. Lavagem</t>
        </is>
      </c>
    </row>
    <row r="3">
      <c r="A3" s="3" t="inlineStr">
        <is>
          <t>Caminhonete</t>
        </is>
      </c>
      <c r="B3" s="298" t="inlineStr">
        <is>
          <t>CHEVROLET S10</t>
        </is>
      </c>
      <c r="C3" s="3" t="inlineStr">
        <is>
          <t>TN 29</t>
        </is>
      </c>
      <c r="D3" s="3" t="inlineStr">
        <is>
          <t>Sonda</t>
        </is>
      </c>
      <c r="E3" s="3" t="inlineStr">
        <is>
          <t>CKS</t>
        </is>
      </c>
      <c r="F3" s="3" t="inlineStr">
        <is>
          <t>FXR0F35</t>
        </is>
      </c>
      <c r="G3" s="3" t="inlineStr">
        <is>
          <t>CARAJÁS</t>
        </is>
      </c>
      <c r="H3" s="10" t="inlineStr">
        <is>
          <t>JOÃO TAVARES</t>
        </is>
      </c>
      <c r="I3" s="7" t="n">
        <v>45751</v>
      </c>
      <c r="J3" s="18" t="n">
        <v>151454</v>
      </c>
      <c r="K3" s="18" t="n">
        <v>151454</v>
      </c>
      <c r="L3" s="7" t="n">
        <v>45748</v>
      </c>
      <c r="M3" s="7" t="inlineStr">
        <is>
          <t>04/04 - 01/04 - ok</t>
        </is>
      </c>
      <c r="N3" s="7" t="n">
        <v>45755</v>
      </c>
    </row>
    <row r="4">
      <c r="A4" s="3" t="inlineStr">
        <is>
          <t>Caminhonete</t>
        </is>
      </c>
      <c r="B4" s="25" t="inlineStr">
        <is>
          <t xml:space="preserve">L200 - Triton </t>
        </is>
      </c>
      <c r="C4" s="14" t="inlineStr">
        <is>
          <t>TN 31</t>
        </is>
      </c>
      <c r="D4" s="14" t="inlineStr">
        <is>
          <t>SINAL</t>
        </is>
      </c>
      <c r="E4" s="14" t="inlineStr">
        <is>
          <t>CKS</t>
        </is>
      </c>
      <c r="F4" s="14" t="inlineStr">
        <is>
          <t>RXG6G10</t>
        </is>
      </c>
      <c r="G4" s="14" t="inlineStr">
        <is>
          <t>CARAJÁS</t>
        </is>
      </c>
      <c r="H4" s="51" t="inlineStr">
        <is>
          <t>Lucas</t>
        </is>
      </c>
      <c r="I4" s="15" t="n">
        <v>45751</v>
      </c>
      <c r="J4" s="16" t="n">
        <v>53085</v>
      </c>
      <c r="K4" s="16" t="n">
        <v>53873</v>
      </c>
      <c r="L4" s="15" t="n">
        <v>45714</v>
      </c>
      <c r="M4" s="15" t="inlineStr">
        <is>
          <t>04/04 - Pendente</t>
        </is>
      </c>
      <c r="N4" s="15" t="n">
        <v>45754</v>
      </c>
    </row>
    <row r="5">
      <c r="A5" s="3" t="inlineStr">
        <is>
          <t>Caminhonete</t>
        </is>
      </c>
      <c r="B5" s="25" t="inlineStr">
        <is>
          <t xml:space="preserve">FORD RANGER </t>
        </is>
      </c>
      <c r="C5" s="14" t="inlineStr">
        <is>
          <t>TN 72</t>
        </is>
      </c>
      <c r="D5" s="14" t="inlineStr">
        <is>
          <t>Sonda</t>
        </is>
      </c>
      <c r="E5" s="14" t="inlineStr">
        <is>
          <t>CKS</t>
        </is>
      </c>
      <c r="F5" s="14" t="inlineStr">
        <is>
          <t>FXD9A18</t>
        </is>
      </c>
      <c r="G5" s="14" t="inlineStr">
        <is>
          <t>CARAJÁS</t>
        </is>
      </c>
      <c r="H5" s="51" t="inlineStr">
        <is>
          <t>RAIMUNDO CHARLES</t>
        </is>
      </c>
      <c r="I5" s="15" t="n">
        <v>45751</v>
      </c>
      <c r="J5" s="16" t="n">
        <v>87794</v>
      </c>
      <c r="K5" s="16" t="n">
        <v>88730</v>
      </c>
      <c r="L5" s="15" t="n">
        <v>45740</v>
      </c>
      <c r="M5" s="15" t="inlineStr">
        <is>
          <t>02/04 - pendente</t>
        </is>
      </c>
      <c r="N5" s="15" t="n">
        <v>45754</v>
      </c>
    </row>
    <row r="6">
      <c r="A6" s="3" t="inlineStr">
        <is>
          <t>Caminhonete</t>
        </is>
      </c>
      <c r="B6" s="6" t="inlineStr">
        <is>
          <t>NISSAN FRONTIER</t>
        </is>
      </c>
      <c r="C6" s="11" t="inlineStr">
        <is>
          <t>TN 03</t>
        </is>
      </c>
      <c r="D6" s="11" t="inlineStr">
        <is>
          <t>SINAL</t>
        </is>
      </c>
      <c r="E6" s="11" t="inlineStr">
        <is>
          <t>CKS</t>
        </is>
      </c>
      <c r="F6" s="11" t="inlineStr">
        <is>
          <t>RXD1B51</t>
        </is>
      </c>
      <c r="G6" s="11" t="inlineStr">
        <is>
          <t>CARAJÁS</t>
        </is>
      </c>
      <c r="H6" s="12" t="inlineStr">
        <is>
          <t>Lucas</t>
        </is>
      </c>
      <c r="I6" s="7" t="n">
        <v>45751</v>
      </c>
      <c r="J6" s="13" t="n">
        <v>28583</v>
      </c>
      <c r="K6" s="13" t="n">
        <v>28969</v>
      </c>
      <c r="L6" s="7" t="n">
        <v>45748</v>
      </c>
      <c r="M6" s="7" t="inlineStr">
        <is>
          <t>04/04 - 01/04 - ok</t>
        </is>
      </c>
      <c r="N6" s="7" t="n">
        <v>45755</v>
      </c>
    </row>
    <row r="7">
      <c r="A7" s="3" t="inlineStr">
        <is>
          <t>Caminhonete</t>
        </is>
      </c>
      <c r="B7" s="298" t="inlineStr">
        <is>
          <t>NISSAN FRONTIER</t>
        </is>
      </c>
      <c r="C7" s="3" t="inlineStr">
        <is>
          <t>TN 74</t>
        </is>
      </c>
      <c r="D7" s="3" t="inlineStr">
        <is>
          <t>SINAL</t>
        </is>
      </c>
      <c r="E7" s="3" t="inlineStr">
        <is>
          <t>CKS</t>
        </is>
      </c>
      <c r="F7" s="3" t="inlineStr">
        <is>
          <t>RXD1B11</t>
        </is>
      </c>
      <c r="G7" s="3" t="inlineStr">
        <is>
          <t>CARAJÁS</t>
        </is>
      </c>
      <c r="H7" s="10" t="inlineStr">
        <is>
          <t>Ederson</t>
        </is>
      </c>
      <c r="I7" s="7" t="n">
        <v>45751</v>
      </c>
      <c r="J7" s="18" t="n">
        <v>42080</v>
      </c>
      <c r="K7" s="18" t="n">
        <v>42719</v>
      </c>
      <c r="L7" s="7" t="n">
        <v>45750</v>
      </c>
      <c r="M7" s="7" t="inlineStr">
        <is>
          <t>02/04 - 03/04 - ok</t>
        </is>
      </c>
      <c r="N7" s="7" t="n">
        <v>45756</v>
      </c>
    </row>
    <row r="8">
      <c r="A8" s="3" t="inlineStr">
        <is>
          <t>Caminhonete</t>
        </is>
      </c>
      <c r="B8" s="298" t="inlineStr">
        <is>
          <t>NISSAN FRONTIER</t>
        </is>
      </c>
      <c r="C8" s="3" t="inlineStr">
        <is>
          <t>TN 75</t>
        </is>
      </c>
      <c r="D8" s="3" t="inlineStr">
        <is>
          <t>SINAL</t>
        </is>
      </c>
      <c r="E8" s="3" t="inlineStr">
        <is>
          <t>CKS</t>
        </is>
      </c>
      <c r="F8" s="3" t="inlineStr">
        <is>
          <t>RXB4A21</t>
        </is>
      </c>
      <c r="G8" s="3" t="inlineStr">
        <is>
          <t>CARAJÁS</t>
        </is>
      </c>
      <c r="H8" s="10" t="n"/>
      <c r="I8" s="7" t="n">
        <v>45751</v>
      </c>
      <c r="J8" s="18" t="n">
        <v>78305</v>
      </c>
      <c r="K8" s="18" t="n">
        <v>78509</v>
      </c>
      <c r="L8" s="7" t="n">
        <v>45750</v>
      </c>
      <c r="M8" s="7" t="inlineStr">
        <is>
          <t>04/04 - 03/04 - ok</t>
        </is>
      </c>
      <c r="N8" s="7" t="n">
        <v>45756</v>
      </c>
    </row>
    <row r="9">
      <c r="A9" s="3" t="inlineStr">
        <is>
          <t>Caminhonete</t>
        </is>
      </c>
      <c r="B9" s="25" t="inlineStr">
        <is>
          <t>NISSAN FRONTIER</t>
        </is>
      </c>
      <c r="C9" s="14" t="inlineStr">
        <is>
          <t>TN 76</t>
        </is>
      </c>
      <c r="D9" s="14" t="inlineStr">
        <is>
          <t>SINAL</t>
        </is>
      </c>
      <c r="E9" s="14" t="inlineStr">
        <is>
          <t>CKS</t>
        </is>
      </c>
      <c r="F9" s="14" t="inlineStr">
        <is>
          <t>RXD0C41</t>
        </is>
      </c>
      <c r="G9" s="14" t="inlineStr">
        <is>
          <t>CARAJÁS</t>
        </is>
      </c>
      <c r="H9" s="51" t="inlineStr">
        <is>
          <t>WERIKLIS</t>
        </is>
      </c>
      <c r="I9" s="15" t="n">
        <v>45751</v>
      </c>
      <c r="J9" s="16" t="n">
        <v>57842</v>
      </c>
      <c r="K9" s="16" t="n">
        <v>58225</v>
      </c>
      <c r="L9" s="15" t="n">
        <v>45723</v>
      </c>
      <c r="M9" s="15" t="inlineStr">
        <is>
          <t>31/03 - pendente</t>
        </is>
      </c>
      <c r="N9" s="15" t="n">
        <v>45754</v>
      </c>
    </row>
    <row r="10">
      <c r="A10" s="3" t="inlineStr">
        <is>
          <t>Caminhonete</t>
        </is>
      </c>
      <c r="B10" s="298" t="inlineStr">
        <is>
          <t>HILLUX</t>
        </is>
      </c>
      <c r="C10" s="3" t="inlineStr">
        <is>
          <t>TN 04</t>
        </is>
      </c>
      <c r="D10" s="3" t="inlineStr">
        <is>
          <t>SINAL</t>
        </is>
      </c>
      <c r="E10" s="3" t="inlineStr">
        <is>
          <t>CKS</t>
        </is>
      </c>
      <c r="F10" s="3" t="inlineStr">
        <is>
          <t>TDM2E37</t>
        </is>
      </c>
      <c r="G10" s="3" t="inlineStr">
        <is>
          <t>CARAJÁS</t>
        </is>
      </c>
      <c r="H10" s="10" t="inlineStr">
        <is>
          <t>MATHEUS</t>
        </is>
      </c>
      <c r="I10" s="7" t="n">
        <v>45751</v>
      </c>
      <c r="J10" s="18" t="n">
        <v>1364</v>
      </c>
      <c r="K10" s="18" t="n">
        <v>1916</v>
      </c>
      <c r="L10" s="7" t="n"/>
      <c r="M10" s="15" t="inlineStr">
        <is>
          <t>pendente</t>
        </is>
      </c>
      <c r="N10" s="7" t="n">
        <v>45751</v>
      </c>
    </row>
    <row r="11">
      <c r="A11" s="3" t="inlineStr">
        <is>
          <t>Leve</t>
        </is>
      </c>
      <c r="B11" s="298" t="inlineStr">
        <is>
          <t>Tracker</t>
        </is>
      </c>
      <c r="C11" s="3" t="inlineStr">
        <is>
          <t>TN 01</t>
        </is>
      </c>
      <c r="D11" s="3" t="inlineStr">
        <is>
          <t>Localiza</t>
        </is>
      </c>
      <c r="E11" s="3" t="inlineStr">
        <is>
          <t>CKS</t>
        </is>
      </c>
      <c r="F11" s="3" t="inlineStr">
        <is>
          <t>TCO2C15</t>
        </is>
      </c>
      <c r="G11" s="3" t="inlineStr">
        <is>
          <t>CARAJÁS</t>
        </is>
      </c>
      <c r="H11" s="10" t="inlineStr">
        <is>
          <t>Fabricio Maia</t>
        </is>
      </c>
      <c r="I11" s="7" t="n">
        <v>45751</v>
      </c>
      <c r="J11" s="18" t="n"/>
      <c r="K11" s="18" t="n"/>
      <c r="L11" s="7" t="n"/>
      <c r="M11" s="7" t="n"/>
      <c r="N11" s="7" t="n"/>
    </row>
    <row r="12">
      <c r="A12" s="3" t="inlineStr">
        <is>
          <t>Caminhonete</t>
        </is>
      </c>
      <c r="B12" s="298" t="inlineStr">
        <is>
          <t xml:space="preserve">L200 - Triton </t>
        </is>
      </c>
      <c r="C12" s="3" t="inlineStr">
        <is>
          <t>TN 73</t>
        </is>
      </c>
      <c r="D12" s="3" t="inlineStr">
        <is>
          <t>SINAL</t>
        </is>
      </c>
      <c r="E12" s="3" t="inlineStr">
        <is>
          <t>CKS</t>
        </is>
      </c>
      <c r="F12" s="3" t="inlineStr">
        <is>
          <t>RXC2D41</t>
        </is>
      </c>
      <c r="G12" s="3" t="inlineStr">
        <is>
          <t>CARAJÁS</t>
        </is>
      </c>
      <c r="H12" s="10" t="inlineStr">
        <is>
          <t>ROSIVALDO</t>
        </is>
      </c>
      <c r="I12" s="7" t="n">
        <v>45751</v>
      </c>
      <c r="J12" s="18" t="inlineStr">
        <is>
          <t>manutenção</t>
        </is>
      </c>
      <c r="K12" s="18" t="n">
        <v>40553</v>
      </c>
      <c r="L12" s="7" t="n">
        <v>45744</v>
      </c>
      <c r="M12" s="7" t="inlineStr">
        <is>
          <t>04/04 - 28/03 - ok</t>
        </is>
      </c>
      <c r="N12" s="7" t="n">
        <v>45756</v>
      </c>
    </row>
    <row r="13">
      <c r="A13" s="292" t="inlineStr">
        <is>
          <t>Veículos - Novos Cadastros</t>
        </is>
      </c>
      <c r="B13" s="323" t="n"/>
      <c r="C13" s="323" t="n"/>
      <c r="D13" s="323" t="n"/>
      <c r="E13" s="323" t="n"/>
      <c r="F13" s="323" t="n"/>
      <c r="G13" s="323" t="n"/>
      <c r="H13" s="323" t="n"/>
      <c r="I13" s="323" t="n"/>
      <c r="J13" s="323" t="n"/>
      <c r="K13" s="323" t="n"/>
      <c r="L13" s="323" t="n"/>
      <c r="M13" s="323" t="n"/>
      <c r="N13" s="323" t="n"/>
    </row>
    <row r="14">
      <c r="A14" s="1" t="inlineStr">
        <is>
          <t>Tipo</t>
        </is>
      </c>
      <c r="B14" s="1" t="inlineStr">
        <is>
          <t xml:space="preserve">Modelos </t>
        </is>
      </c>
      <c r="C14" s="1" t="inlineStr">
        <is>
          <t>Tag</t>
        </is>
      </c>
      <c r="D14" s="1" t="inlineStr">
        <is>
          <t>Locadora</t>
        </is>
      </c>
      <c r="E14" s="1" t="inlineStr">
        <is>
          <t>Localidade</t>
        </is>
      </c>
      <c r="F14" s="1" t="inlineStr">
        <is>
          <t>Placa</t>
        </is>
      </c>
      <c r="G14" s="1" t="inlineStr">
        <is>
          <t>SSO</t>
        </is>
      </c>
      <c r="H14" s="1" t="inlineStr">
        <is>
          <t>Condutores</t>
        </is>
      </c>
      <c r="I14" s="1" t="inlineStr">
        <is>
          <t>SEMANA 01</t>
        </is>
      </c>
      <c r="J14" s="1" t="n"/>
      <c r="K14" s="1" t="inlineStr">
        <is>
          <t xml:space="preserve">KM  </t>
        </is>
      </c>
      <c r="L14" s="1" t="n"/>
      <c r="M14" s="1" t="n"/>
      <c r="N14" s="38" t="inlineStr">
        <is>
          <t>Prox. Lavagem</t>
        </is>
      </c>
    </row>
    <row r="15"/>
    <row r="16"/>
    <row r="17" ht="47.25" customHeight="1">
      <c r="F17" s="325" t="inlineStr">
        <is>
          <t>TN 76/ TN 72/ TN 31 / TN 04 não foram lavadas devido a mudança do contrato do lavador, lavagem reprogramada para prox semana. Lavador do núcleo voltou a atender dia 03/04</t>
        </is>
      </c>
      <c r="G17" s="323" t="n"/>
      <c r="H17" s="323" t="n"/>
      <c r="I17" s="323" t="n"/>
      <c r="J17" s="324" t="n"/>
    </row>
    <row r="18">
      <c r="F18" s="326" t="inlineStr">
        <is>
          <t>TN 31 e TN 76 necessita balizar telemetria</t>
        </is>
      </c>
      <c r="G18" s="323" t="n"/>
      <c r="H18" s="323" t="n"/>
      <c r="I18" s="323" t="n"/>
      <c r="J18" s="324" t="n"/>
    </row>
    <row r="19">
      <c r="F19" s="310" t="inlineStr">
        <is>
          <t>TN31-RXG6G10  SUBSTITUIDA POR - TN31 - TCD7I68</t>
        </is>
      </c>
      <c r="G19" s="327" t="n"/>
      <c r="H19" s="327" t="n"/>
      <c r="I19" s="327" t="n"/>
      <c r="J19" s="327" t="n"/>
    </row>
  </sheetData>
  <mergeCells count="4">
    <mergeCell ref="F17:J17"/>
    <mergeCell ref="F19:J19"/>
    <mergeCell ref="A13:N13"/>
    <mergeCell ref="F18:J18"/>
  </mergeCells>
  <pageMargins left="0.511811024" right="0.511811024" top="0.787401575" bottom="0.787401575" header="0.31496062" footer="0.31496062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H17" sqref="H17:L17"/>
    </sheetView>
  </sheetViews>
  <sheetFormatPr baseColWidth="8" defaultRowHeight="14.3"/>
  <cols>
    <col width="20" bestFit="1" customWidth="1" min="1" max="1"/>
    <col width="16.5" bestFit="1" customWidth="1" min="2" max="2"/>
    <col width="19.5" bestFit="1" customWidth="1" min="8" max="8"/>
    <col width="11.5" bestFit="1" customWidth="1" min="9" max="9"/>
    <col width="13.5" bestFit="1" customWidth="1" min="10" max="10"/>
    <col width="11.625" bestFit="1" customWidth="1" min="11" max="11"/>
    <col width="14.875" bestFit="1" customWidth="1" style="67" min="12" max="12"/>
    <col width="22.5" bestFit="1" customWidth="1" min="13" max="13"/>
    <col width="13.875" bestFit="1" customWidth="1" min="14" max="14"/>
  </cols>
  <sheetData>
    <row r="1">
      <c r="A1" s="36" t="inlineStr">
        <is>
          <t xml:space="preserve">Veículos Cadastrados 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62" t="n"/>
      <c r="M1" s="49" t="n"/>
    </row>
    <row r="2">
      <c r="A2" s="1" t="inlineStr">
        <is>
          <t>Tipo</t>
        </is>
      </c>
      <c r="B2" s="1" t="inlineStr">
        <is>
          <t xml:space="preserve">Modelos </t>
        </is>
      </c>
      <c r="C2" s="1" t="inlineStr">
        <is>
          <t>Tag</t>
        </is>
      </c>
      <c r="D2" s="1" t="inlineStr">
        <is>
          <t>Locadora</t>
        </is>
      </c>
      <c r="E2" s="1" t="inlineStr">
        <is>
          <t>Localidade</t>
        </is>
      </c>
      <c r="F2" s="1" t="inlineStr">
        <is>
          <t>Placa</t>
        </is>
      </c>
      <c r="G2" s="1" t="inlineStr">
        <is>
          <t>SSO</t>
        </is>
      </c>
      <c r="H2" s="1" t="inlineStr">
        <is>
          <t>Condutores</t>
        </is>
      </c>
      <c r="I2" s="1" t="inlineStr">
        <is>
          <t>SEMANA 03</t>
        </is>
      </c>
      <c r="J2" s="1" t="inlineStr">
        <is>
          <t>KM ANTERIOR</t>
        </is>
      </c>
      <c r="K2" s="1" t="inlineStr">
        <is>
          <t>KM  ATUAL</t>
        </is>
      </c>
      <c r="L2" s="42" t="inlineStr">
        <is>
          <t>Ultima lavagem</t>
        </is>
      </c>
      <c r="M2" s="50" t="inlineStr">
        <is>
          <t>lavagem programada S-1</t>
        </is>
      </c>
      <c r="N2" s="38" t="inlineStr">
        <is>
          <t>Prox. Lavagem</t>
        </is>
      </c>
    </row>
    <row r="3">
      <c r="A3" s="3" t="inlineStr">
        <is>
          <t>Caminhonete</t>
        </is>
      </c>
      <c r="B3" s="298" t="inlineStr">
        <is>
          <t>CHEVROLET S10</t>
        </is>
      </c>
      <c r="C3" s="3" t="inlineStr">
        <is>
          <t>TN 29</t>
        </is>
      </c>
      <c r="D3" s="3" t="inlineStr">
        <is>
          <t>Sonda</t>
        </is>
      </c>
      <c r="E3" s="3" t="inlineStr">
        <is>
          <t>CKS</t>
        </is>
      </c>
      <c r="F3" s="3" t="inlineStr">
        <is>
          <t>FXR0F35</t>
        </is>
      </c>
      <c r="G3" s="3" t="inlineStr">
        <is>
          <t>CARAJÁS</t>
        </is>
      </c>
      <c r="H3" s="10" t="inlineStr">
        <is>
          <t>JOÃO TAVARES</t>
        </is>
      </c>
      <c r="I3" s="7" t="n">
        <v>45764</v>
      </c>
      <c r="J3" s="18" t="n">
        <v>151454</v>
      </c>
      <c r="K3" s="18" t="n">
        <v>153511</v>
      </c>
      <c r="L3" s="63" t="n">
        <v>45757</v>
      </c>
      <c r="M3" s="60" t="inlineStr">
        <is>
          <t>pendente</t>
        </is>
      </c>
      <c r="N3" s="56" t="n">
        <v>45769</v>
      </c>
    </row>
    <row r="4">
      <c r="A4" s="52" t="inlineStr">
        <is>
          <t>Caminhonete</t>
        </is>
      </c>
      <c r="B4" s="55" t="inlineStr">
        <is>
          <t>Hillux</t>
        </is>
      </c>
      <c r="C4" s="52" t="inlineStr">
        <is>
          <t>TN 31</t>
        </is>
      </c>
      <c r="D4" s="52" t="inlineStr">
        <is>
          <t>SINAL</t>
        </is>
      </c>
      <c r="E4" s="52" t="inlineStr">
        <is>
          <t>CKS</t>
        </is>
      </c>
      <c r="F4" s="52" t="inlineStr">
        <is>
          <t>TCD7168</t>
        </is>
      </c>
      <c r="G4" s="52" t="inlineStr">
        <is>
          <t>CARAJÁS</t>
        </is>
      </c>
      <c r="H4" s="53" t="inlineStr">
        <is>
          <t>Lucas</t>
        </is>
      </c>
      <c r="I4" s="7" t="n">
        <v>45764</v>
      </c>
      <c r="J4" s="54" t="n"/>
      <c r="K4" s="54" t="n"/>
      <c r="L4" s="64" t="inlineStr">
        <is>
          <t> </t>
        </is>
      </c>
      <c r="M4" s="57" t="inlineStr">
        <is>
          <t>pendente</t>
        </is>
      </c>
      <c r="N4" s="57" t="inlineStr">
        <is>
          <t> </t>
        </is>
      </c>
    </row>
    <row r="5">
      <c r="A5" s="11" t="inlineStr">
        <is>
          <t>Caminhonete</t>
        </is>
      </c>
      <c r="B5" s="6" t="inlineStr">
        <is>
          <t xml:space="preserve">FORD RANGER </t>
        </is>
      </c>
      <c r="C5" s="11" t="inlineStr">
        <is>
          <t>TN 72</t>
        </is>
      </c>
      <c r="D5" s="11" t="inlineStr">
        <is>
          <t>Sonda</t>
        </is>
      </c>
      <c r="E5" s="11" t="inlineStr">
        <is>
          <t>CKS</t>
        </is>
      </c>
      <c r="F5" s="11" t="inlineStr">
        <is>
          <t>FXD9A18</t>
        </is>
      </c>
      <c r="G5" s="11" t="inlineStr">
        <is>
          <t>CARAJÁS</t>
        </is>
      </c>
      <c r="H5" s="12" t="inlineStr">
        <is>
          <t>RAIMUNDO CHARLES</t>
        </is>
      </c>
      <c r="I5" s="7" t="n">
        <v>45764</v>
      </c>
      <c r="J5" s="13" t="n">
        <v>88730</v>
      </c>
      <c r="K5" s="13" t="inlineStr">
        <is>
          <t>manutenção</t>
        </is>
      </c>
      <c r="L5" s="63" t="n">
        <v>45740</v>
      </c>
      <c r="M5" s="61" t="inlineStr">
        <is>
          <t>pendente</t>
        </is>
      </c>
      <c r="N5" s="59" t="n">
        <v>45769</v>
      </c>
    </row>
    <row r="6">
      <c r="A6" s="3" t="inlineStr">
        <is>
          <t>Caminhonete</t>
        </is>
      </c>
      <c r="B6" s="6" t="inlineStr">
        <is>
          <t>NISSAN FRONTIER</t>
        </is>
      </c>
      <c r="C6" s="11" t="inlineStr">
        <is>
          <t>TN 03</t>
        </is>
      </c>
      <c r="D6" s="11" t="inlineStr">
        <is>
          <t>SINAL</t>
        </is>
      </c>
      <c r="E6" s="11" t="inlineStr">
        <is>
          <t>CKS</t>
        </is>
      </c>
      <c r="F6" s="11" t="inlineStr">
        <is>
          <t>RXD1B51</t>
        </is>
      </c>
      <c r="G6" s="11" t="inlineStr">
        <is>
          <t>CARAJÁS</t>
        </is>
      </c>
      <c r="H6" s="12" t="inlineStr">
        <is>
          <t>Lucas</t>
        </is>
      </c>
      <c r="I6" s="7" t="n">
        <v>45764</v>
      </c>
      <c r="J6" s="13" t="n">
        <v>29608</v>
      </c>
      <c r="K6" s="13" t="n">
        <v>32614</v>
      </c>
      <c r="L6" s="65" t="n">
        <v>45748</v>
      </c>
      <c r="M6" s="61" t="inlineStr">
        <is>
          <t>pendente</t>
        </is>
      </c>
      <c r="N6" s="59" t="n">
        <v>45769</v>
      </c>
    </row>
    <row r="7">
      <c r="A7" s="3" t="inlineStr">
        <is>
          <t>Caminhonete</t>
        </is>
      </c>
      <c r="B7" s="298" t="inlineStr">
        <is>
          <t>NISSAN FRONTIER</t>
        </is>
      </c>
      <c r="C7" s="3" t="inlineStr">
        <is>
          <t>TN 74</t>
        </is>
      </c>
      <c r="D7" s="3" t="inlineStr">
        <is>
          <t>SINAL</t>
        </is>
      </c>
      <c r="E7" s="3" t="inlineStr">
        <is>
          <t>CKS</t>
        </is>
      </c>
      <c r="F7" s="3" t="inlineStr">
        <is>
          <t>RXD1B11</t>
        </is>
      </c>
      <c r="G7" s="3" t="inlineStr">
        <is>
          <t>CARAJÁS</t>
        </is>
      </c>
      <c r="H7" s="10" t="inlineStr">
        <is>
          <t>Ederson</t>
        </is>
      </c>
      <c r="I7" s="7" t="n">
        <v>45764</v>
      </c>
      <c r="J7" s="18" t="n">
        <v>43560</v>
      </c>
      <c r="K7" s="18" t="n">
        <v>44599</v>
      </c>
      <c r="L7" s="65" t="n">
        <v>45750</v>
      </c>
      <c r="M7" s="61" t="inlineStr">
        <is>
          <t>pendente</t>
        </is>
      </c>
      <c r="N7" s="59" t="n">
        <v>45769</v>
      </c>
    </row>
    <row r="8">
      <c r="A8" s="3" t="inlineStr">
        <is>
          <t>Caminhonete</t>
        </is>
      </c>
      <c r="B8" s="298" t="inlineStr">
        <is>
          <t>NISSAN FRONTIER</t>
        </is>
      </c>
      <c r="C8" s="3" t="inlineStr">
        <is>
          <t>TN 75</t>
        </is>
      </c>
      <c r="D8" s="3" t="inlineStr">
        <is>
          <t>SINAL</t>
        </is>
      </c>
      <c r="E8" s="3" t="inlineStr">
        <is>
          <t>CKS</t>
        </is>
      </c>
      <c r="F8" s="3" t="inlineStr">
        <is>
          <t>RXB4A21</t>
        </is>
      </c>
      <c r="G8" s="3" t="inlineStr">
        <is>
          <t>CARAJÁS</t>
        </is>
      </c>
      <c r="H8" s="10" t="inlineStr">
        <is>
          <t xml:space="preserve">Rafael </t>
        </is>
      </c>
      <c r="I8" s="7" t="n">
        <v>45764</v>
      </c>
      <c r="J8" s="18" t="n">
        <v>78937</v>
      </c>
      <c r="K8" s="18" t="n"/>
      <c r="L8" s="65" t="n">
        <v>45762</v>
      </c>
      <c r="M8" s="58" t="inlineStr">
        <is>
          <t>15/04 - 15/04 - ok</t>
        </is>
      </c>
      <c r="N8" s="59" t="n">
        <v>45771</v>
      </c>
    </row>
    <row r="9">
      <c r="A9" s="3" t="inlineStr">
        <is>
          <t>Caminhonete</t>
        </is>
      </c>
      <c r="B9" s="298" t="inlineStr">
        <is>
          <t>NISSAN FRONTIER</t>
        </is>
      </c>
      <c r="C9" s="3" t="inlineStr">
        <is>
          <t>TN 76</t>
        </is>
      </c>
      <c r="D9" s="3" t="inlineStr">
        <is>
          <t>SINAL</t>
        </is>
      </c>
      <c r="E9" s="3" t="inlineStr">
        <is>
          <t>CKS</t>
        </is>
      </c>
      <c r="F9" s="3" t="inlineStr">
        <is>
          <t>RXD0C41</t>
        </is>
      </c>
      <c r="G9" s="3" t="inlineStr">
        <is>
          <t>CARAJÁS</t>
        </is>
      </c>
      <c r="H9" s="10" t="inlineStr">
        <is>
          <t>WERIKLIS</t>
        </is>
      </c>
      <c r="I9" s="7" t="n">
        <v>45764</v>
      </c>
      <c r="J9" s="18" t="n">
        <v>58656</v>
      </c>
      <c r="K9" s="18" t="n">
        <v>59416</v>
      </c>
      <c r="L9" s="66" t="inlineStr">
        <is>
          <t> </t>
        </is>
      </c>
      <c r="M9" s="61" t="inlineStr">
        <is>
          <t>pendente</t>
        </is>
      </c>
      <c r="N9" s="59" t="n">
        <v>45771</v>
      </c>
    </row>
    <row r="10">
      <c r="A10" s="3" t="inlineStr">
        <is>
          <t>Caminhonete</t>
        </is>
      </c>
      <c r="B10" s="298" t="inlineStr">
        <is>
          <t>HILLUX</t>
        </is>
      </c>
      <c r="C10" s="3" t="inlineStr">
        <is>
          <t>TN 04</t>
        </is>
      </c>
      <c r="D10" s="3" t="inlineStr">
        <is>
          <t>SINAL</t>
        </is>
      </c>
      <c r="E10" s="3" t="inlineStr">
        <is>
          <t>CKS</t>
        </is>
      </c>
      <c r="F10" s="3" t="inlineStr">
        <is>
          <t>TDM2E37</t>
        </is>
      </c>
      <c r="G10" s="3" t="inlineStr">
        <is>
          <t>CARAJÁS</t>
        </is>
      </c>
      <c r="H10" s="10" t="inlineStr">
        <is>
          <t>MATHEUS</t>
        </is>
      </c>
      <c r="I10" s="7" t="n">
        <v>45764</v>
      </c>
      <c r="J10" s="18" t="n">
        <v>2632</v>
      </c>
      <c r="K10" s="18" t="n">
        <v>3209</v>
      </c>
      <c r="L10" s="66" t="inlineStr">
        <is>
          <t> </t>
        </is>
      </c>
      <c r="M10" s="61" t="inlineStr">
        <is>
          <t>pendente</t>
        </is>
      </c>
      <c r="N10" s="59" t="n">
        <v>45771</v>
      </c>
    </row>
    <row r="11">
      <c r="A11" s="3" t="inlineStr">
        <is>
          <t>Leve</t>
        </is>
      </c>
      <c r="B11" s="298" t="inlineStr">
        <is>
          <t>Tracker</t>
        </is>
      </c>
      <c r="C11" s="3" t="inlineStr">
        <is>
          <t>TN 01</t>
        </is>
      </c>
      <c r="D11" s="3" t="inlineStr">
        <is>
          <t>Localiza</t>
        </is>
      </c>
      <c r="E11" s="3" t="inlineStr">
        <is>
          <t>CKS</t>
        </is>
      </c>
      <c r="F11" s="3" t="inlineStr">
        <is>
          <t>TCO2C15</t>
        </is>
      </c>
      <c r="G11" s="3" t="inlineStr">
        <is>
          <t>CARAJÁS</t>
        </is>
      </c>
      <c r="H11" s="10" t="inlineStr">
        <is>
          <t>Fabricio Maia</t>
        </is>
      </c>
      <c r="I11" s="7" t="n">
        <v>45764</v>
      </c>
      <c r="J11" s="18" t="n"/>
      <c r="K11" s="18" t="n"/>
      <c r="L11" s="65" t="n">
        <v>45764</v>
      </c>
      <c r="M11" s="58" t="inlineStr">
        <is>
          <t>16/04 - 17/04 ok</t>
        </is>
      </c>
      <c r="N11" s="59" t="n">
        <v>45772</v>
      </c>
    </row>
    <row r="12">
      <c r="A12" s="3" t="inlineStr">
        <is>
          <t>Caminhonete</t>
        </is>
      </c>
      <c r="B12" s="298" t="inlineStr">
        <is>
          <t xml:space="preserve">L200 - Triton </t>
        </is>
      </c>
      <c r="C12" s="3" t="inlineStr">
        <is>
          <t>TN 73</t>
        </is>
      </c>
      <c r="D12" s="3" t="inlineStr">
        <is>
          <t>SINAL</t>
        </is>
      </c>
      <c r="E12" s="3" t="inlineStr">
        <is>
          <t>CKS</t>
        </is>
      </c>
      <c r="F12" s="3" t="inlineStr">
        <is>
          <t>RXC2D41</t>
        </is>
      </c>
      <c r="G12" s="3" t="inlineStr">
        <is>
          <t>CARAJÁS</t>
        </is>
      </c>
      <c r="H12" s="10" t="inlineStr">
        <is>
          <t>William</t>
        </is>
      </c>
      <c r="I12" s="7" t="n">
        <v>45764</v>
      </c>
      <c r="J12" s="18" t="n">
        <v>40956</v>
      </c>
      <c r="K12" s="18" t="n">
        <v>41329</v>
      </c>
      <c r="L12" s="65" t="n">
        <v>45764</v>
      </c>
      <c r="M12" s="58" t="inlineStr">
        <is>
          <t>16/04 - 17/04 ok</t>
        </is>
      </c>
      <c r="N12" s="59" t="n">
        <v>45772</v>
      </c>
    </row>
    <row r="13">
      <c r="A13" s="292" t="inlineStr">
        <is>
          <t>Veículos - Novos Cadastros</t>
        </is>
      </c>
      <c r="B13" s="323" t="n"/>
      <c r="C13" s="323" t="n"/>
      <c r="D13" s="323" t="n"/>
      <c r="E13" s="323" t="n"/>
      <c r="F13" s="323" t="n"/>
      <c r="G13" s="323" t="n"/>
      <c r="H13" s="323" t="n"/>
      <c r="I13" s="323" t="n"/>
      <c r="J13" s="323" t="n"/>
      <c r="K13" s="323" t="n"/>
      <c r="L13" s="323" t="n"/>
      <c r="M13" s="323" t="n"/>
      <c r="N13" s="323" t="n"/>
    </row>
    <row r="14">
      <c r="A14" s="1" t="inlineStr">
        <is>
          <t>Tipo</t>
        </is>
      </c>
      <c r="B14" s="1" t="inlineStr">
        <is>
          <t xml:space="preserve">Modelos </t>
        </is>
      </c>
      <c r="C14" s="1" t="inlineStr">
        <is>
          <t>Tag</t>
        </is>
      </c>
      <c r="D14" s="1" t="inlineStr">
        <is>
          <t>Locadora</t>
        </is>
      </c>
      <c r="E14" s="1" t="inlineStr">
        <is>
          <t>Localidade</t>
        </is>
      </c>
      <c r="F14" s="1" t="inlineStr">
        <is>
          <t>Placa</t>
        </is>
      </c>
      <c r="G14" s="1" t="inlineStr">
        <is>
          <t>SSO</t>
        </is>
      </c>
      <c r="H14" s="1" t="inlineStr">
        <is>
          <t>Condutores</t>
        </is>
      </c>
      <c r="I14" s="1" t="inlineStr">
        <is>
          <t>SEMANA 01</t>
        </is>
      </c>
      <c r="J14" s="1" t="n"/>
      <c r="K14" s="1" t="inlineStr">
        <is>
          <t xml:space="preserve">KM  </t>
        </is>
      </c>
      <c r="L14" s="1" t="n"/>
      <c r="M14" s="1" t="n"/>
      <c r="N14" s="38" t="inlineStr">
        <is>
          <t>Prox. Lavagem</t>
        </is>
      </c>
    </row>
    <row r="15"/>
    <row r="16"/>
    <row r="17">
      <c r="H17" s="326" t="inlineStr">
        <is>
          <t>TN 31 em mobilização</t>
        </is>
      </c>
      <c r="I17" s="323" t="n"/>
      <c r="J17" s="323" t="n"/>
      <c r="K17" s="323" t="n"/>
      <c r="L17" s="324" t="n"/>
    </row>
  </sheetData>
  <mergeCells count="2">
    <mergeCell ref="A13:N13"/>
    <mergeCell ref="H17:L17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23" sqref="A23"/>
    </sheetView>
  </sheetViews>
  <sheetFormatPr baseColWidth="8" defaultRowHeight="14.3"/>
  <cols>
    <col width="20" bestFit="1" customWidth="1" min="1" max="1"/>
    <col width="16.5" bestFit="1" customWidth="1" min="2" max="2"/>
    <col width="19.5" bestFit="1" customWidth="1" min="8" max="8"/>
    <col width="11.5" bestFit="1" customWidth="1" min="9" max="9"/>
    <col width="13.5" bestFit="1" customWidth="1" min="10" max="10"/>
    <col width="11.625" bestFit="1" customWidth="1" min="11" max="11"/>
    <col width="17.625" customWidth="1" min="12" max="12"/>
    <col width="22.5" bestFit="1" customWidth="1" min="13" max="13"/>
    <col width="13.875" bestFit="1" customWidth="1" min="14" max="14"/>
  </cols>
  <sheetData>
    <row r="1">
      <c r="A1" s="36" t="inlineStr">
        <is>
          <t xml:space="preserve">Veículos Cadastrados 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49" t="n"/>
    </row>
    <row r="2">
      <c r="A2" s="1" t="inlineStr">
        <is>
          <t>Tipo</t>
        </is>
      </c>
      <c r="B2" s="1" t="inlineStr">
        <is>
          <t xml:space="preserve">Modelos </t>
        </is>
      </c>
      <c r="C2" s="1" t="inlineStr">
        <is>
          <t>Tag</t>
        </is>
      </c>
      <c r="D2" s="1" t="inlineStr">
        <is>
          <t>Locadora</t>
        </is>
      </c>
      <c r="E2" s="1" t="inlineStr">
        <is>
          <t>Localidade</t>
        </is>
      </c>
      <c r="F2" s="1" t="inlineStr">
        <is>
          <t>Placa</t>
        </is>
      </c>
      <c r="G2" s="1" t="inlineStr">
        <is>
          <t>SSO</t>
        </is>
      </c>
      <c r="H2" s="1" t="inlineStr">
        <is>
          <t>Condutores</t>
        </is>
      </c>
      <c r="I2" s="1" t="inlineStr">
        <is>
          <t>SEMANA 02</t>
        </is>
      </c>
      <c r="J2" s="1" t="inlineStr">
        <is>
          <t>KM ANTERIOR</t>
        </is>
      </c>
      <c r="K2" s="1" t="inlineStr">
        <is>
          <t>KM  ATUAL</t>
        </is>
      </c>
      <c r="L2" s="42" t="inlineStr">
        <is>
          <t>Ultima lavagem</t>
        </is>
      </c>
      <c r="M2" s="50" t="inlineStr">
        <is>
          <t>lavagem programada S-1</t>
        </is>
      </c>
      <c r="N2" s="38" t="inlineStr">
        <is>
          <t>Prox. Lavagem</t>
        </is>
      </c>
    </row>
    <row r="3">
      <c r="A3" s="3" t="inlineStr">
        <is>
          <t>Caminhonete</t>
        </is>
      </c>
      <c r="B3" s="298" t="inlineStr">
        <is>
          <t>CHEVROLET S10</t>
        </is>
      </c>
      <c r="C3" s="3" t="inlineStr">
        <is>
          <t>TN 29</t>
        </is>
      </c>
      <c r="D3" s="3" t="inlineStr">
        <is>
          <t>Sonda</t>
        </is>
      </c>
      <c r="E3" s="3" t="inlineStr">
        <is>
          <t>CKS</t>
        </is>
      </c>
      <c r="F3" s="3" t="inlineStr">
        <is>
          <t>FXR0F35</t>
        </is>
      </c>
      <c r="G3" s="3" t="inlineStr">
        <is>
          <t>CARAJÁS</t>
        </is>
      </c>
      <c r="H3" s="10" t="inlineStr">
        <is>
          <t>JOÃO TAVARES</t>
        </is>
      </c>
      <c r="I3" s="7" t="n">
        <v>45758</v>
      </c>
      <c r="J3" s="18" t="n">
        <v>151454</v>
      </c>
      <c r="K3" s="18" t="inlineStr">
        <is>
          <t>manutenção</t>
        </is>
      </c>
      <c r="L3" s="7" t="n">
        <v>45748</v>
      </c>
      <c r="M3" s="15" t="inlineStr">
        <is>
          <t>pendente</t>
        </is>
      </c>
      <c r="N3" s="7" t="n">
        <v>45761</v>
      </c>
    </row>
    <row r="4">
      <c r="A4" s="14" t="inlineStr">
        <is>
          <t>Caminhonete</t>
        </is>
      </c>
      <c r="B4" s="25" t="inlineStr">
        <is>
          <t xml:space="preserve">L200 - Triton </t>
        </is>
      </c>
      <c r="C4" s="14" t="inlineStr">
        <is>
          <t>TN 31</t>
        </is>
      </c>
      <c r="D4" s="14" t="inlineStr">
        <is>
          <t>SINAL</t>
        </is>
      </c>
      <c r="E4" s="14" t="inlineStr">
        <is>
          <t>CKS</t>
        </is>
      </c>
      <c r="F4" s="14" t="n"/>
      <c r="G4" s="14" t="inlineStr">
        <is>
          <t>CARAJÁS</t>
        </is>
      </c>
      <c r="H4" s="51" t="inlineStr">
        <is>
          <t>Lucas</t>
        </is>
      </c>
      <c r="I4" s="15" t="n">
        <v>45758</v>
      </c>
      <c r="J4" s="16" t="n"/>
      <c r="K4" s="16" t="n"/>
      <c r="L4" s="15" t="n"/>
      <c r="M4" s="15" t="inlineStr">
        <is>
          <t>pendente</t>
        </is>
      </c>
      <c r="N4" s="15" t="n"/>
    </row>
    <row r="5">
      <c r="A5" s="3" t="inlineStr">
        <is>
          <t>Caminhonete</t>
        </is>
      </c>
      <c r="B5" s="6" t="inlineStr">
        <is>
          <t xml:space="preserve">FORD RANGER </t>
        </is>
      </c>
      <c r="C5" s="11" t="inlineStr">
        <is>
          <t>TN 72</t>
        </is>
      </c>
      <c r="D5" s="11" t="inlineStr">
        <is>
          <t>Sonda</t>
        </is>
      </c>
      <c r="E5" s="11" t="inlineStr">
        <is>
          <t>CKS</t>
        </is>
      </c>
      <c r="F5" s="11" t="inlineStr">
        <is>
          <t>FXD9A18</t>
        </is>
      </c>
      <c r="G5" s="11" t="inlineStr">
        <is>
          <t>CARAJÁS</t>
        </is>
      </c>
      <c r="H5" s="12" t="inlineStr">
        <is>
          <t>RAIMUNDO CHARLES</t>
        </is>
      </c>
      <c r="I5" s="7" t="n">
        <v>45758</v>
      </c>
      <c r="J5" s="13" t="n">
        <v>88730</v>
      </c>
      <c r="K5" s="13" t="n"/>
      <c r="L5" s="7" t="n">
        <v>45740</v>
      </c>
      <c r="M5" s="15" t="inlineStr">
        <is>
          <t>pendente</t>
        </is>
      </c>
      <c r="N5" s="7" t="n">
        <v>45761</v>
      </c>
    </row>
    <row r="6">
      <c r="A6" s="3" t="inlineStr">
        <is>
          <t>Caminhonete</t>
        </is>
      </c>
      <c r="B6" s="6" t="inlineStr">
        <is>
          <t>NISSAN FRONTIER</t>
        </is>
      </c>
      <c r="C6" s="11" t="inlineStr">
        <is>
          <t>TN 03</t>
        </is>
      </c>
      <c r="D6" s="11" t="inlineStr">
        <is>
          <t>SINAL</t>
        </is>
      </c>
      <c r="E6" s="11" t="inlineStr">
        <is>
          <t>CKS</t>
        </is>
      </c>
      <c r="F6" s="11" t="inlineStr">
        <is>
          <t>RXD1B51</t>
        </is>
      </c>
      <c r="G6" s="11" t="inlineStr">
        <is>
          <t>CARAJÁS</t>
        </is>
      </c>
      <c r="H6" s="12" t="inlineStr">
        <is>
          <t>Lucas</t>
        </is>
      </c>
      <c r="I6" s="7" t="n">
        <v>45758</v>
      </c>
      <c r="J6" s="13" t="n">
        <v>28969</v>
      </c>
      <c r="K6" s="13" t="n">
        <v>29608</v>
      </c>
      <c r="L6" s="7" t="n">
        <v>45748</v>
      </c>
      <c r="M6" s="15" t="inlineStr">
        <is>
          <t>pendente</t>
        </is>
      </c>
      <c r="N6" s="7" t="n">
        <v>45762</v>
      </c>
    </row>
    <row r="7">
      <c r="A7" s="3" t="inlineStr">
        <is>
          <t>Caminhonete</t>
        </is>
      </c>
      <c r="B7" s="298" t="inlineStr">
        <is>
          <t>NISSAN FRONTIER</t>
        </is>
      </c>
      <c r="C7" s="3" t="inlineStr">
        <is>
          <t>TN 74</t>
        </is>
      </c>
      <c r="D7" s="3" t="inlineStr">
        <is>
          <t>SINAL</t>
        </is>
      </c>
      <c r="E7" s="3" t="inlineStr">
        <is>
          <t>CKS</t>
        </is>
      </c>
      <c r="F7" s="3" t="inlineStr">
        <is>
          <t>RXD1B11</t>
        </is>
      </c>
      <c r="G7" s="3" t="inlineStr">
        <is>
          <t>CARAJÁS</t>
        </is>
      </c>
      <c r="H7" s="10" t="inlineStr">
        <is>
          <t>Ederson</t>
        </is>
      </c>
      <c r="I7" s="7" t="n">
        <v>45758</v>
      </c>
      <c r="J7" s="18" t="n">
        <v>42719</v>
      </c>
      <c r="K7" s="18" t="n">
        <v>43560</v>
      </c>
      <c r="L7" s="7" t="n">
        <v>45750</v>
      </c>
      <c r="M7" s="15" t="inlineStr">
        <is>
          <t>pendente</t>
        </is>
      </c>
      <c r="N7" s="7" t="n">
        <v>45762</v>
      </c>
    </row>
    <row r="8">
      <c r="A8" s="3" t="inlineStr">
        <is>
          <t>Caminhonete</t>
        </is>
      </c>
      <c r="B8" s="298" t="inlineStr">
        <is>
          <t>NISSAN FRONTIER</t>
        </is>
      </c>
      <c r="C8" s="3" t="inlineStr">
        <is>
          <t>TN 75</t>
        </is>
      </c>
      <c r="D8" s="3" t="inlineStr">
        <is>
          <t>SINAL</t>
        </is>
      </c>
      <c r="E8" s="3" t="inlineStr">
        <is>
          <t>CKS</t>
        </is>
      </c>
      <c r="F8" s="3" t="inlineStr">
        <is>
          <t>RXB4A21</t>
        </is>
      </c>
      <c r="G8" s="3" t="inlineStr">
        <is>
          <t>CARAJÁS</t>
        </is>
      </c>
      <c r="H8" s="10" t="n"/>
      <c r="I8" s="7" t="n">
        <v>45758</v>
      </c>
      <c r="J8" s="18" t="n">
        <v>78509</v>
      </c>
      <c r="K8" s="18" t="n"/>
      <c r="L8" s="7" t="n">
        <v>45750</v>
      </c>
      <c r="M8" s="15" t="inlineStr">
        <is>
          <t>pendente</t>
        </is>
      </c>
      <c r="N8" s="7" t="n">
        <v>45762</v>
      </c>
    </row>
    <row r="9">
      <c r="A9" s="3" t="inlineStr">
        <is>
          <t>Caminhonete</t>
        </is>
      </c>
      <c r="B9" s="298" t="inlineStr">
        <is>
          <t>NISSAN FRONTIER</t>
        </is>
      </c>
      <c r="C9" s="3" t="inlineStr">
        <is>
          <t>TN 76</t>
        </is>
      </c>
      <c r="D9" s="3" t="inlineStr">
        <is>
          <t>SINAL</t>
        </is>
      </c>
      <c r="E9" s="3" t="inlineStr">
        <is>
          <t>CKS</t>
        </is>
      </c>
      <c r="F9" s="3" t="inlineStr">
        <is>
          <t>RXD0C41</t>
        </is>
      </c>
      <c r="G9" s="3" t="inlineStr">
        <is>
          <t>CARAJÁS</t>
        </is>
      </c>
      <c r="H9" s="10" t="inlineStr">
        <is>
          <t>WERIKLIS</t>
        </is>
      </c>
      <c r="I9" s="7" t="n">
        <v>45758</v>
      </c>
      <c r="J9" s="18" t="n">
        <v>58225</v>
      </c>
      <c r="K9" s="18" t="n">
        <v>58656</v>
      </c>
      <c r="L9" s="7" t="n">
        <v>45386</v>
      </c>
      <c r="M9" s="15" t="inlineStr">
        <is>
          <t>pendente</t>
        </is>
      </c>
      <c r="N9" s="7" t="n">
        <v>45763</v>
      </c>
    </row>
    <row r="10">
      <c r="A10" s="3" t="inlineStr">
        <is>
          <t>Caminhonete</t>
        </is>
      </c>
      <c r="B10" s="298" t="inlineStr">
        <is>
          <t>HILLUX</t>
        </is>
      </c>
      <c r="C10" s="3" t="inlineStr">
        <is>
          <t>TN 04</t>
        </is>
      </c>
      <c r="D10" s="3" t="inlineStr">
        <is>
          <t>SINAL</t>
        </is>
      </c>
      <c r="E10" s="3" t="inlineStr">
        <is>
          <t>CKS</t>
        </is>
      </c>
      <c r="F10" s="3" t="inlineStr">
        <is>
          <t>TDM2E37</t>
        </is>
      </c>
      <c r="G10" s="3" t="inlineStr">
        <is>
          <t>CARAJÁS</t>
        </is>
      </c>
      <c r="H10" s="10" t="inlineStr">
        <is>
          <t>MATHEUS</t>
        </is>
      </c>
      <c r="I10" s="7" t="n">
        <v>45758</v>
      </c>
      <c r="J10" s="18" t="n">
        <v>1916</v>
      </c>
      <c r="K10" s="18" t="n">
        <v>2632</v>
      </c>
      <c r="L10" s="7" t="n"/>
      <c r="M10" s="15" t="inlineStr">
        <is>
          <t>pendente</t>
        </is>
      </c>
      <c r="N10" s="7" t="n">
        <v>45763</v>
      </c>
    </row>
    <row r="11">
      <c r="A11" s="3" t="inlineStr">
        <is>
          <t>Leve</t>
        </is>
      </c>
      <c r="B11" s="298" t="inlineStr">
        <is>
          <t>Tracker</t>
        </is>
      </c>
      <c r="C11" s="3" t="inlineStr">
        <is>
          <t>TN 01</t>
        </is>
      </c>
      <c r="D11" s="3" t="inlineStr">
        <is>
          <t>Localiza</t>
        </is>
      </c>
      <c r="E11" s="3" t="inlineStr">
        <is>
          <t>CKS</t>
        </is>
      </c>
      <c r="F11" s="3" t="inlineStr">
        <is>
          <t>TCO2C15</t>
        </is>
      </c>
      <c r="G11" s="3" t="inlineStr">
        <is>
          <t>CARAJÁS</t>
        </is>
      </c>
      <c r="H11" s="10" t="inlineStr">
        <is>
          <t>Fabricio Maia</t>
        </is>
      </c>
      <c r="I11" s="7" t="n">
        <v>45758</v>
      </c>
      <c r="J11" s="18" t="n"/>
      <c r="K11" s="18" t="n"/>
      <c r="L11" s="7" t="n"/>
      <c r="M11" s="15" t="inlineStr">
        <is>
          <t>pendente</t>
        </is>
      </c>
      <c r="N11" s="7" t="n"/>
    </row>
    <row r="12">
      <c r="A12" s="3" t="inlineStr">
        <is>
          <t>Caminhonete</t>
        </is>
      </c>
      <c r="B12" s="298" t="inlineStr">
        <is>
          <t xml:space="preserve">L200 - Triton </t>
        </is>
      </c>
      <c r="C12" s="3" t="inlineStr">
        <is>
          <t>TN 73</t>
        </is>
      </c>
      <c r="D12" s="3" t="inlineStr">
        <is>
          <t>SINAL</t>
        </is>
      </c>
      <c r="E12" s="3" t="inlineStr">
        <is>
          <t>CKS</t>
        </is>
      </c>
      <c r="F12" s="3" t="inlineStr">
        <is>
          <t>RXC2D41</t>
        </is>
      </c>
      <c r="G12" s="3" t="inlineStr">
        <is>
          <t>CARAJÁS</t>
        </is>
      </c>
      <c r="H12" s="10" t="inlineStr">
        <is>
          <t>ROSIVALDO</t>
        </is>
      </c>
      <c r="I12" s="7" t="n">
        <v>45758</v>
      </c>
      <c r="J12" s="18" t="n">
        <v>40553</v>
      </c>
      <c r="K12" s="18" t="n">
        <v>40956</v>
      </c>
      <c r="L12" s="7" t="n">
        <v>45744</v>
      </c>
      <c r="M12" s="15" t="inlineStr">
        <is>
          <t>pendente</t>
        </is>
      </c>
      <c r="N12" s="7" t="n">
        <v>45763</v>
      </c>
    </row>
    <row r="13">
      <c r="A13" s="292" t="inlineStr">
        <is>
          <t>Veículos - Novos Cadastros</t>
        </is>
      </c>
      <c r="B13" s="323" t="n"/>
      <c r="C13" s="323" t="n"/>
      <c r="D13" s="323" t="n"/>
      <c r="E13" s="323" t="n"/>
      <c r="F13" s="323" t="n"/>
      <c r="G13" s="323" t="n"/>
      <c r="H13" s="323" t="n"/>
      <c r="I13" s="323" t="n"/>
      <c r="J13" s="323" t="n"/>
      <c r="K13" s="323" t="n"/>
      <c r="L13" s="323" t="n"/>
      <c r="M13" s="323" t="n"/>
      <c r="N13" s="323" t="n"/>
    </row>
    <row r="14">
      <c r="A14" s="1" t="inlineStr">
        <is>
          <t>Tipo</t>
        </is>
      </c>
      <c r="B14" s="1" t="inlineStr">
        <is>
          <t xml:space="preserve">Modelos </t>
        </is>
      </c>
      <c r="C14" s="1" t="inlineStr">
        <is>
          <t>Tag</t>
        </is>
      </c>
      <c r="D14" s="1" t="inlineStr">
        <is>
          <t>Locadora</t>
        </is>
      </c>
      <c r="E14" s="1" t="inlineStr">
        <is>
          <t>Localidade</t>
        </is>
      </c>
      <c r="F14" s="1" t="inlineStr">
        <is>
          <t>Placa</t>
        </is>
      </c>
      <c r="G14" s="1" t="inlineStr">
        <is>
          <t>SSO</t>
        </is>
      </c>
      <c r="H14" s="1" t="inlineStr">
        <is>
          <t>Condutores</t>
        </is>
      </c>
      <c r="I14" s="1" t="inlineStr">
        <is>
          <t>SEMANA 01</t>
        </is>
      </c>
      <c r="J14" s="1" t="n"/>
      <c r="K14" s="1" t="inlineStr">
        <is>
          <t xml:space="preserve">KM  </t>
        </is>
      </c>
      <c r="L14" s="1" t="n"/>
      <c r="M14" s="1" t="n"/>
      <c r="N14" s="38" t="inlineStr">
        <is>
          <t>Prox. Lavagem</t>
        </is>
      </c>
    </row>
    <row r="15"/>
    <row r="16"/>
    <row r="17" ht="32.3" customHeight="1">
      <c r="H17" s="326" t="inlineStr">
        <is>
          <t>TN31-RXG6G10  SUBSTITUIDA POR - TN31 - TCD7I68</t>
        </is>
      </c>
      <c r="I17" s="323" t="n"/>
      <c r="J17" s="323" t="n"/>
      <c r="K17" s="323" t="n"/>
      <c r="L17" s="324" t="n"/>
    </row>
    <row r="18">
      <c r="H18" s="326" t="inlineStr">
        <is>
          <t>TN 31 devolvido a SINAL</t>
        </is>
      </c>
      <c r="I18" s="323" t="n"/>
      <c r="J18" s="323" t="n"/>
      <c r="K18" s="323" t="n"/>
      <c r="L18" s="324" t="n"/>
    </row>
    <row r="19">
      <c r="H19" s="326" t="inlineStr">
        <is>
          <t>TN 01 em mobilização</t>
        </is>
      </c>
      <c r="I19" s="323" t="n"/>
      <c r="J19" s="323" t="n"/>
      <c r="K19" s="323" t="n"/>
      <c r="L19" s="324" t="n"/>
    </row>
    <row r="20">
      <c r="H20" s="326" t="inlineStr">
        <is>
          <t>TN 29 em manutenção desde 10/04</t>
        </is>
      </c>
      <c r="I20" s="323" t="n"/>
      <c r="J20" s="323" t="n"/>
      <c r="K20" s="323" t="n"/>
      <c r="L20" s="324" t="n"/>
    </row>
  </sheetData>
  <mergeCells count="5">
    <mergeCell ref="H17:L17"/>
    <mergeCell ref="H20:L20"/>
    <mergeCell ref="H18:L18"/>
    <mergeCell ref="H19:L19"/>
    <mergeCell ref="A13:N13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1"/>
  <sheetViews>
    <sheetView zoomScale="84" zoomScaleNormal="84" workbookViewId="0">
      <selection activeCell="L31" sqref="L31"/>
    </sheetView>
  </sheetViews>
  <sheetFormatPr baseColWidth="8" defaultRowHeight="14.3"/>
  <cols>
    <col width="20" bestFit="1" customWidth="1" min="1" max="1"/>
    <col width="16.5" bestFit="1" customWidth="1" min="2" max="2"/>
    <col width="19.5" bestFit="1" customWidth="1" min="8" max="8"/>
    <col width="11.5" bestFit="1" customWidth="1" min="9" max="9"/>
    <col width="13.5" bestFit="1" customWidth="1" min="10" max="10"/>
    <col width="14.875" bestFit="1" customWidth="1" min="12" max="12"/>
    <col width="18.5" customWidth="1" min="13" max="13"/>
    <col width="13.875" bestFit="1" customWidth="1" min="14" max="14"/>
  </cols>
  <sheetData>
    <row r="1">
      <c r="A1" s="36" t="inlineStr">
        <is>
          <t xml:space="preserve">Veículos Cadastrados 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62" t="n"/>
      <c r="M1" s="49" t="n"/>
    </row>
    <row r="2">
      <c r="A2" s="1" t="inlineStr">
        <is>
          <t>Tipo</t>
        </is>
      </c>
      <c r="B2" s="1" t="inlineStr">
        <is>
          <t xml:space="preserve">Modelos </t>
        </is>
      </c>
      <c r="C2" s="1" t="inlineStr">
        <is>
          <t>Tag</t>
        </is>
      </c>
      <c r="D2" s="1" t="inlineStr">
        <is>
          <t>Locadora</t>
        </is>
      </c>
      <c r="E2" s="1" t="inlineStr">
        <is>
          <t>Localidade</t>
        </is>
      </c>
      <c r="F2" s="1" t="inlineStr">
        <is>
          <t>Placa</t>
        </is>
      </c>
      <c r="G2" s="1" t="inlineStr">
        <is>
          <t>SSO</t>
        </is>
      </c>
      <c r="H2" s="1" t="inlineStr">
        <is>
          <t>Condutores</t>
        </is>
      </c>
      <c r="I2" s="1" t="inlineStr">
        <is>
          <t>SEMANA 04</t>
        </is>
      </c>
      <c r="J2" s="1" t="inlineStr">
        <is>
          <t>KM ANTERIOR</t>
        </is>
      </c>
      <c r="K2" s="1" t="inlineStr">
        <is>
          <t>KM  ATUAL</t>
        </is>
      </c>
      <c r="L2" s="42" t="inlineStr">
        <is>
          <t>Ultima lavagem</t>
        </is>
      </c>
      <c r="M2" s="50" t="inlineStr">
        <is>
          <t>lavagem programada S-1</t>
        </is>
      </c>
      <c r="N2" s="38" t="inlineStr">
        <is>
          <t>Prox. Lavagem</t>
        </is>
      </c>
    </row>
    <row r="3">
      <c r="A3" s="52" t="inlineStr">
        <is>
          <t>Caminhonete</t>
        </is>
      </c>
      <c r="B3" s="55" t="inlineStr">
        <is>
          <t>CHEVROLET S10</t>
        </is>
      </c>
      <c r="C3" s="52" t="inlineStr">
        <is>
          <t>TN 29</t>
        </is>
      </c>
      <c r="D3" s="52" t="inlineStr">
        <is>
          <t>Sonda</t>
        </is>
      </c>
      <c r="E3" s="52" t="inlineStr">
        <is>
          <t>CKS</t>
        </is>
      </c>
      <c r="F3" s="52" t="inlineStr">
        <is>
          <t>FXR0F35</t>
        </is>
      </c>
      <c r="G3" s="52" t="inlineStr">
        <is>
          <t>CARAJÁS</t>
        </is>
      </c>
      <c r="H3" s="53" t="inlineStr">
        <is>
          <t>JOÃO TAVARES</t>
        </is>
      </c>
      <c r="I3" s="68" t="n">
        <v>45772</v>
      </c>
      <c r="J3" s="54" t="n">
        <v>153511</v>
      </c>
      <c r="K3" s="54" t="n">
        <v>154139</v>
      </c>
      <c r="L3" s="69" t="n">
        <v>45757</v>
      </c>
      <c r="M3" s="70" t="inlineStr">
        <is>
          <t>pendente</t>
        </is>
      </c>
      <c r="N3" s="71" t="n">
        <v>45806</v>
      </c>
    </row>
    <row r="4">
      <c r="A4" s="52" t="inlineStr">
        <is>
          <t>Caminhonete</t>
        </is>
      </c>
      <c r="B4" s="55" t="inlineStr">
        <is>
          <t>Hillux</t>
        </is>
      </c>
      <c r="C4" s="52" t="inlineStr">
        <is>
          <t>TN 31</t>
        </is>
      </c>
      <c r="D4" s="52" t="inlineStr">
        <is>
          <t>SINAL</t>
        </is>
      </c>
      <c r="E4" s="52" t="inlineStr">
        <is>
          <t>CKS</t>
        </is>
      </c>
      <c r="F4" s="52" t="inlineStr">
        <is>
          <t>TCD7168</t>
        </is>
      </c>
      <c r="G4" s="52" t="inlineStr">
        <is>
          <t>CARAJÁS</t>
        </is>
      </c>
      <c r="H4" s="53" t="inlineStr">
        <is>
          <t>Lucas</t>
        </is>
      </c>
      <c r="I4" s="68" t="n">
        <v>45772</v>
      </c>
      <c r="J4" s="54" t="n"/>
      <c r="K4" s="54" t="n"/>
      <c r="L4" s="64" t="inlineStr">
        <is>
          <t> </t>
        </is>
      </c>
      <c r="M4" s="57" t="n"/>
      <c r="N4" s="57" t="inlineStr">
        <is>
          <t> </t>
        </is>
      </c>
    </row>
    <row r="5">
      <c r="A5" s="11" t="inlineStr">
        <is>
          <t>Caminhonete</t>
        </is>
      </c>
      <c r="B5" s="6" t="inlineStr">
        <is>
          <t xml:space="preserve">FORD RANGER </t>
        </is>
      </c>
      <c r="C5" s="11" t="inlineStr">
        <is>
          <t>TN 72</t>
        </is>
      </c>
      <c r="D5" s="11" t="inlineStr">
        <is>
          <t>Sonda</t>
        </is>
      </c>
      <c r="E5" s="11" t="inlineStr">
        <is>
          <t>CKS</t>
        </is>
      </c>
      <c r="F5" s="11" t="inlineStr">
        <is>
          <t>FXD9A18</t>
        </is>
      </c>
      <c r="G5" s="11" t="inlineStr">
        <is>
          <t>CARAJÁS</t>
        </is>
      </c>
      <c r="H5" s="12" t="inlineStr">
        <is>
          <t>RAIMUNDO CHARLES</t>
        </is>
      </c>
      <c r="I5" s="7" t="n">
        <v>45772</v>
      </c>
      <c r="J5" s="13" t="inlineStr">
        <is>
          <t>manutenção</t>
        </is>
      </c>
      <c r="K5" s="13" t="n">
        <v>90189</v>
      </c>
      <c r="L5" s="63" t="n">
        <v>45741</v>
      </c>
      <c r="M5" s="58" t="inlineStr">
        <is>
          <t>22/04 - 25/04 - ok</t>
        </is>
      </c>
      <c r="N5" s="59" t="n">
        <v>45806</v>
      </c>
    </row>
    <row r="6">
      <c r="A6" s="52" t="inlineStr">
        <is>
          <t>Caminhonete</t>
        </is>
      </c>
      <c r="B6" s="55" t="inlineStr">
        <is>
          <t>NISSAN FRONTIER</t>
        </is>
      </c>
      <c r="C6" s="52" t="inlineStr">
        <is>
          <t>TN 03</t>
        </is>
      </c>
      <c r="D6" s="52" t="inlineStr">
        <is>
          <t>SINAL</t>
        </is>
      </c>
      <c r="E6" s="52" t="inlineStr">
        <is>
          <t>CKS</t>
        </is>
      </c>
      <c r="F6" s="52" t="inlineStr">
        <is>
          <t>TCD7H75</t>
        </is>
      </c>
      <c r="G6" s="52" t="inlineStr">
        <is>
          <t>CARAJÁS</t>
        </is>
      </c>
      <c r="H6" s="53" t="inlineStr">
        <is>
          <t>Lucas</t>
        </is>
      </c>
      <c r="I6" s="68" t="n">
        <v>45772</v>
      </c>
      <c r="J6" s="54" t="n"/>
      <c r="K6" s="54" t="inlineStr">
        <is>
          <t>-</t>
        </is>
      </c>
      <c r="L6" s="74" t="n"/>
      <c r="M6" s="75" t="n"/>
      <c r="N6" s="76" t="n"/>
    </row>
    <row r="7">
      <c r="A7" s="3" t="inlineStr">
        <is>
          <t>Caminhonete</t>
        </is>
      </c>
      <c r="B7" s="298" t="inlineStr">
        <is>
          <t>NISSAN FRONTIER</t>
        </is>
      </c>
      <c r="C7" s="3" t="inlineStr">
        <is>
          <t>TN 74</t>
        </is>
      </c>
      <c r="D7" s="3" t="inlineStr">
        <is>
          <t>SINAL</t>
        </is>
      </c>
      <c r="E7" s="3" t="inlineStr">
        <is>
          <t>CKS</t>
        </is>
      </c>
      <c r="F7" s="3" t="inlineStr">
        <is>
          <t>RXD1B11</t>
        </is>
      </c>
      <c r="G7" s="3" t="inlineStr">
        <is>
          <t>CARAJÁS</t>
        </is>
      </c>
      <c r="H7" s="10" t="inlineStr">
        <is>
          <t>Ederson</t>
        </is>
      </c>
      <c r="I7" s="7" t="n">
        <v>45772</v>
      </c>
      <c r="J7" s="18" t="n">
        <v>44599</v>
      </c>
      <c r="K7" s="18" t="inlineStr">
        <is>
          <t>-</t>
        </is>
      </c>
      <c r="L7" s="73" t="n">
        <v>45769</v>
      </c>
      <c r="M7" s="72" t="inlineStr">
        <is>
          <t>22/04 - 22/04 - ok</t>
        </is>
      </c>
      <c r="N7" s="59" t="n">
        <v>45807</v>
      </c>
    </row>
    <row r="8">
      <c r="A8" s="3" t="inlineStr">
        <is>
          <t>Caminhonete</t>
        </is>
      </c>
      <c r="B8" s="298" t="inlineStr">
        <is>
          <t>NISSAN FRONTIER</t>
        </is>
      </c>
      <c r="C8" s="3" t="inlineStr">
        <is>
          <t>TN 75</t>
        </is>
      </c>
      <c r="D8" s="3" t="inlineStr">
        <is>
          <t>SINAL</t>
        </is>
      </c>
      <c r="E8" s="3" t="inlineStr">
        <is>
          <t>CKS</t>
        </is>
      </c>
      <c r="F8" s="3" t="inlineStr">
        <is>
          <t>RXB4A21</t>
        </is>
      </c>
      <c r="G8" s="3" t="inlineStr">
        <is>
          <t>CARAJÁS</t>
        </is>
      </c>
      <c r="H8" s="10" t="inlineStr">
        <is>
          <t xml:space="preserve">Rafael </t>
        </is>
      </c>
      <c r="I8" s="7" t="n">
        <v>45772</v>
      </c>
      <c r="J8" s="18" t="n">
        <v>78937</v>
      </c>
      <c r="K8" s="18" t="n">
        <v>79411</v>
      </c>
      <c r="L8" s="65" t="n">
        <v>45772</v>
      </c>
      <c r="M8" s="58" t="inlineStr">
        <is>
          <t>24/04 - 25- 04 - ok</t>
        </is>
      </c>
      <c r="N8" s="59" t="n">
        <v>45807</v>
      </c>
    </row>
    <row r="9">
      <c r="A9" s="3" t="inlineStr">
        <is>
          <t>Caminhonete</t>
        </is>
      </c>
      <c r="B9" s="298" t="inlineStr">
        <is>
          <t>NISSAN FRONTIER</t>
        </is>
      </c>
      <c r="C9" s="3" t="inlineStr">
        <is>
          <t>TN 76</t>
        </is>
      </c>
      <c r="D9" s="3" t="inlineStr">
        <is>
          <t>SINAL</t>
        </is>
      </c>
      <c r="E9" s="3" t="inlineStr">
        <is>
          <t>CKS</t>
        </is>
      </c>
      <c r="F9" s="3" t="inlineStr">
        <is>
          <t>RXD0C41</t>
        </is>
      </c>
      <c r="G9" s="3" t="inlineStr">
        <is>
          <t>CARAJÁS</t>
        </is>
      </c>
      <c r="H9" s="10" t="inlineStr">
        <is>
          <t>WERIKLIS</t>
        </is>
      </c>
      <c r="I9" s="7" t="n">
        <v>45772</v>
      </c>
      <c r="J9" s="18" t="n">
        <v>59416</v>
      </c>
      <c r="K9" s="18" t="n">
        <v>59740</v>
      </c>
      <c r="L9" s="65" t="n">
        <v>45768</v>
      </c>
      <c r="M9" s="58" t="inlineStr">
        <is>
          <t>24/04 - 21/04 - ok</t>
        </is>
      </c>
      <c r="N9" s="59" t="n">
        <v>45807</v>
      </c>
    </row>
    <row r="10">
      <c r="A10" s="3" t="inlineStr">
        <is>
          <t>Caminhonete</t>
        </is>
      </c>
      <c r="B10" s="298" t="inlineStr">
        <is>
          <t>HILLUX</t>
        </is>
      </c>
      <c r="C10" s="3" t="inlineStr">
        <is>
          <t>TN 04</t>
        </is>
      </c>
      <c r="D10" s="3" t="inlineStr">
        <is>
          <t>SINAL</t>
        </is>
      </c>
      <c r="E10" s="3" t="inlineStr">
        <is>
          <t>CKS</t>
        </is>
      </c>
      <c r="F10" s="3" t="inlineStr">
        <is>
          <t>TDM2E37</t>
        </is>
      </c>
      <c r="G10" s="3" t="inlineStr">
        <is>
          <t>CARAJÁS</t>
        </is>
      </c>
      <c r="H10" s="10" t="inlineStr">
        <is>
          <t>MATHEUS</t>
        </is>
      </c>
      <c r="I10" s="7" t="n">
        <v>45772</v>
      </c>
      <c r="J10" s="18" t="n">
        <v>3209</v>
      </c>
      <c r="K10" s="18" t="n">
        <v>3754</v>
      </c>
      <c r="L10" s="66" t="inlineStr">
        <is>
          <t> </t>
        </is>
      </c>
      <c r="M10" s="61" t="inlineStr">
        <is>
          <t>pendente</t>
        </is>
      </c>
      <c r="N10" s="59" t="n">
        <v>45805</v>
      </c>
    </row>
    <row r="11">
      <c r="A11" s="3" t="inlineStr">
        <is>
          <t>Leve</t>
        </is>
      </c>
      <c r="B11" s="298" t="inlineStr">
        <is>
          <t>Tracker</t>
        </is>
      </c>
      <c r="C11" s="3" t="inlineStr">
        <is>
          <t>TN 01</t>
        </is>
      </c>
      <c r="D11" s="3" t="inlineStr">
        <is>
          <t>Localiza</t>
        </is>
      </c>
      <c r="E11" s="3" t="inlineStr">
        <is>
          <t>CKS</t>
        </is>
      </c>
      <c r="F11" s="3" t="inlineStr">
        <is>
          <t>TCO2C15</t>
        </is>
      </c>
      <c r="G11" s="3" t="inlineStr">
        <is>
          <t>CARAJÁS</t>
        </is>
      </c>
      <c r="H11" s="10" t="inlineStr">
        <is>
          <t>Fabricio Maia</t>
        </is>
      </c>
      <c r="I11" s="7" t="n">
        <v>45772</v>
      </c>
      <c r="J11" s="18" t="n"/>
      <c r="K11" s="18" t="inlineStr">
        <is>
          <t>-</t>
        </is>
      </c>
      <c r="L11" s="65" t="n">
        <v>45764</v>
      </c>
      <c r="M11" s="61" t="inlineStr">
        <is>
          <t>pendente</t>
        </is>
      </c>
      <c r="N11" s="59" t="n">
        <v>45805</v>
      </c>
    </row>
    <row r="12">
      <c r="A12" s="3" t="inlineStr">
        <is>
          <t>Caminhonete</t>
        </is>
      </c>
      <c r="B12" s="298" t="inlineStr">
        <is>
          <t xml:space="preserve">L200 - Triton </t>
        </is>
      </c>
      <c r="C12" s="3" t="inlineStr">
        <is>
          <t>TN 73</t>
        </is>
      </c>
      <c r="D12" s="3" t="inlineStr">
        <is>
          <t>SINAL</t>
        </is>
      </c>
      <c r="E12" s="3" t="inlineStr">
        <is>
          <t>CKS</t>
        </is>
      </c>
      <c r="F12" s="3" t="inlineStr">
        <is>
          <t>RXC2D41</t>
        </is>
      </c>
      <c r="G12" s="3" t="inlineStr">
        <is>
          <t>CARAJÁS</t>
        </is>
      </c>
      <c r="H12" s="10" t="inlineStr">
        <is>
          <t>William</t>
        </is>
      </c>
      <c r="I12" s="7" t="n">
        <v>45772</v>
      </c>
      <c r="J12" s="18" t="n">
        <v>41329</v>
      </c>
      <c r="K12" s="18" t="n">
        <v>41601</v>
      </c>
      <c r="L12" s="65" t="n">
        <v>45772</v>
      </c>
      <c r="M12" s="58" t="inlineStr">
        <is>
          <t>25/04 - 25/04 - ok</t>
        </is>
      </c>
      <c r="N12" s="59" t="n">
        <v>45807</v>
      </c>
    </row>
    <row r="13">
      <c r="A13" s="292" t="inlineStr">
        <is>
          <t>Veículos - Novos Cadastros</t>
        </is>
      </c>
      <c r="B13" s="323" t="n"/>
      <c r="C13" s="323" t="n"/>
      <c r="D13" s="323" t="n"/>
      <c r="E13" s="323" t="n"/>
      <c r="F13" s="323" t="n"/>
      <c r="G13" s="323" t="n"/>
      <c r="H13" s="323" t="n"/>
      <c r="I13" s="323" t="n"/>
      <c r="J13" s="323" t="n"/>
      <c r="K13" s="323" t="n"/>
      <c r="L13" s="323" t="n"/>
      <c r="M13" s="323" t="n"/>
      <c r="N13" s="323" t="n"/>
    </row>
    <row r="14">
      <c r="A14" s="1" t="inlineStr">
        <is>
          <t>Tipo</t>
        </is>
      </c>
      <c r="B14" s="1" t="inlineStr">
        <is>
          <t xml:space="preserve">Modelos </t>
        </is>
      </c>
      <c r="C14" s="1" t="inlineStr">
        <is>
          <t>Tag</t>
        </is>
      </c>
      <c r="D14" s="1" t="inlineStr">
        <is>
          <t>Locadora</t>
        </is>
      </c>
      <c r="E14" s="1" t="inlineStr">
        <is>
          <t>Localidade</t>
        </is>
      </c>
      <c r="F14" s="1" t="inlineStr">
        <is>
          <t>Placa</t>
        </is>
      </c>
      <c r="G14" s="1" t="inlineStr">
        <is>
          <t>SSO</t>
        </is>
      </c>
      <c r="H14" s="1" t="inlineStr">
        <is>
          <t>Condutores</t>
        </is>
      </c>
      <c r="I14" s="1" t="inlineStr">
        <is>
          <t>SEMANA 01</t>
        </is>
      </c>
      <c r="J14" s="1" t="n"/>
      <c r="K14" s="1" t="inlineStr">
        <is>
          <t xml:space="preserve">KM  </t>
        </is>
      </c>
      <c r="L14" s="1" t="n"/>
      <c r="M14" s="1" t="n"/>
      <c r="N14" s="38" t="inlineStr">
        <is>
          <t>Prox. Lavagem</t>
        </is>
      </c>
    </row>
    <row r="15">
      <c r="L15" s="67" t="n"/>
    </row>
    <row r="16"/>
    <row r="17"/>
    <row r="18">
      <c r="G18" s="326" t="inlineStr">
        <is>
          <t>TN 29 unico veiculo com escada disponivel, não pode ser lavado</t>
        </is>
      </c>
      <c r="H18" s="323" t="n"/>
      <c r="I18" s="323" t="n"/>
      <c r="J18" s="323" t="n"/>
      <c r="K18" s="324" t="n"/>
    </row>
    <row r="19">
      <c r="G19" s="326" t="inlineStr">
        <is>
          <t>TN 72, manutenção desde 25/04</t>
        </is>
      </c>
      <c r="H19" s="323" t="n"/>
      <c r="I19" s="323" t="n"/>
      <c r="J19" s="323" t="n"/>
      <c r="K19" s="324" t="n"/>
    </row>
    <row r="20">
      <c r="G20" s="326" t="inlineStr">
        <is>
          <t>TN 31 em mobilização</t>
        </is>
      </c>
      <c r="H20" s="323" t="n"/>
      <c r="I20" s="323" t="n"/>
      <c r="J20" s="323" t="n"/>
      <c r="K20" s="324" t="n"/>
    </row>
    <row r="21">
      <c r="G21" s="326" t="inlineStr">
        <is>
          <t>TN 03 substituida e esta em mobilização</t>
        </is>
      </c>
      <c r="H21" s="323" t="n"/>
      <c r="I21" s="323" t="n"/>
      <c r="J21" s="323" t="n"/>
      <c r="K21" s="324" t="n"/>
    </row>
  </sheetData>
  <mergeCells count="5">
    <mergeCell ref="G21:K21"/>
    <mergeCell ref="G20:K20"/>
    <mergeCell ref="G19:K19"/>
    <mergeCell ref="A13:N13"/>
    <mergeCell ref="G18:K18"/>
  </mergeCell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4.3"/>
  <cols>
    <col width="19.375" bestFit="1" customWidth="1" min="1" max="1"/>
    <col width="15.625" bestFit="1" customWidth="1" min="2" max="2"/>
    <col width="18.5" bestFit="1" customWidth="1" min="8" max="8"/>
    <col width="10.5" bestFit="1" customWidth="1" min="9" max="9"/>
    <col width="13.875" bestFit="1" customWidth="1" min="12" max="12"/>
    <col width="15.375" customWidth="1" min="13" max="13"/>
    <col width="13" bestFit="1" customWidth="1" min="14" max="14"/>
  </cols>
  <sheetData>
    <row r="1">
      <c r="A1" s="77" t="inlineStr">
        <is>
          <t xml:space="preserve">Veículos Cadastrados 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9" t="n"/>
      <c r="M1" s="80" t="n"/>
      <c r="N1" s="81" t="n"/>
    </row>
    <row r="2">
      <c r="A2" s="82" t="inlineStr">
        <is>
          <t>Tipo</t>
        </is>
      </c>
      <c r="B2" s="82" t="inlineStr">
        <is>
          <t xml:space="preserve">Modelos </t>
        </is>
      </c>
      <c r="C2" s="82" t="inlineStr">
        <is>
          <t>Tag</t>
        </is>
      </c>
      <c r="D2" s="82" t="inlineStr">
        <is>
          <t>Locadora</t>
        </is>
      </c>
      <c r="E2" s="82" t="inlineStr">
        <is>
          <t>Localidade</t>
        </is>
      </c>
      <c r="F2" s="82" t="inlineStr">
        <is>
          <t>Placa</t>
        </is>
      </c>
      <c r="G2" s="82" t="inlineStr">
        <is>
          <t>SSO</t>
        </is>
      </c>
      <c r="H2" s="82" t="inlineStr">
        <is>
          <t>Condutores</t>
        </is>
      </c>
      <c r="I2" s="82" t="inlineStr">
        <is>
          <t>SEMANA 02</t>
        </is>
      </c>
      <c r="J2" s="82" t="inlineStr">
        <is>
          <t>KM ANTERIOR</t>
        </is>
      </c>
      <c r="K2" s="82" t="inlineStr">
        <is>
          <t>KM  ATUAL</t>
        </is>
      </c>
      <c r="L2" s="83" t="inlineStr">
        <is>
          <t>Ultima lavagem</t>
        </is>
      </c>
      <c r="M2" s="84" t="inlineStr">
        <is>
          <t>lavagem programada S-1</t>
        </is>
      </c>
      <c r="N2" s="85" t="inlineStr">
        <is>
          <t>Prox. Lavagem</t>
        </is>
      </c>
    </row>
    <row r="3">
      <c r="A3" s="86" t="inlineStr">
        <is>
          <t>Caminhonete</t>
        </is>
      </c>
      <c r="B3" s="40" t="inlineStr">
        <is>
          <t>CHEVROLET S10</t>
        </is>
      </c>
      <c r="C3" s="86" t="inlineStr">
        <is>
          <t>TN 29</t>
        </is>
      </c>
      <c r="D3" s="86" t="inlineStr">
        <is>
          <t>Sonda</t>
        </is>
      </c>
      <c r="E3" s="86" t="inlineStr">
        <is>
          <t>CKS</t>
        </is>
      </c>
      <c r="F3" s="86" t="inlineStr">
        <is>
          <t>FXR0F35</t>
        </is>
      </c>
      <c r="G3" s="86" t="inlineStr">
        <is>
          <t>CARAJÁS</t>
        </is>
      </c>
      <c r="H3" s="87" t="inlineStr">
        <is>
          <t>JOÃO TAVARES</t>
        </is>
      </c>
      <c r="I3" s="88" t="n">
        <v>45793</v>
      </c>
      <c r="J3" s="89" t="n">
        <v>155432</v>
      </c>
      <c r="K3" s="89" t="n">
        <v>156339</v>
      </c>
      <c r="L3" s="90" t="n">
        <v>45784</v>
      </c>
      <c r="M3" s="90" t="inlineStr">
        <is>
          <t>pendente</t>
        </is>
      </c>
      <c r="N3" s="99" t="n">
        <v>45796</v>
      </c>
    </row>
    <row r="4">
      <c r="A4" s="86" t="inlineStr">
        <is>
          <t>Caminhonete</t>
        </is>
      </c>
      <c r="B4" s="40" t="inlineStr">
        <is>
          <t>Hillux</t>
        </is>
      </c>
      <c r="C4" s="86" t="inlineStr">
        <is>
          <t>TN 31</t>
        </is>
      </c>
      <c r="D4" s="86" t="inlineStr">
        <is>
          <t>SINAL</t>
        </is>
      </c>
      <c r="E4" s="86" t="inlineStr">
        <is>
          <t>CKS</t>
        </is>
      </c>
      <c r="F4" s="86" t="inlineStr">
        <is>
          <t>TCD7168</t>
        </is>
      </c>
      <c r="G4" s="86" t="inlineStr">
        <is>
          <t>CARAJÁS</t>
        </is>
      </c>
      <c r="H4" s="87" t="inlineStr">
        <is>
          <t>Lucas</t>
        </is>
      </c>
      <c r="I4" s="88" t="n">
        <v>45793</v>
      </c>
      <c r="J4" s="89" t="n">
        <v>15405</v>
      </c>
      <c r="K4" s="89" t="n">
        <v>15660</v>
      </c>
      <c r="L4" s="105" t="n"/>
      <c r="M4" s="90" t="inlineStr">
        <is>
          <t>pendente</t>
        </is>
      </c>
      <c r="N4" s="99" t="n">
        <v>45796</v>
      </c>
    </row>
    <row r="5">
      <c r="A5" s="86" t="inlineStr">
        <is>
          <t>Caminhonete</t>
        </is>
      </c>
      <c r="B5" s="40" t="inlineStr">
        <is>
          <t xml:space="preserve">FORD RANGER </t>
        </is>
      </c>
      <c r="C5" s="86" t="inlineStr">
        <is>
          <t>TN 72</t>
        </is>
      </c>
      <c r="D5" s="86" t="inlineStr">
        <is>
          <t>Sonda</t>
        </is>
      </c>
      <c r="E5" s="86" t="inlineStr">
        <is>
          <t>CKS</t>
        </is>
      </c>
      <c r="F5" s="86" t="inlineStr">
        <is>
          <t>FXD9A18</t>
        </is>
      </c>
      <c r="G5" s="86" t="inlineStr">
        <is>
          <t>CARAJÁS</t>
        </is>
      </c>
      <c r="H5" s="87" t="inlineStr">
        <is>
          <t>RAIMUNDO CHARLES</t>
        </is>
      </c>
      <c r="I5" s="88" t="n">
        <v>45793</v>
      </c>
      <c r="J5" s="89" t="n">
        <v>91255</v>
      </c>
      <c r="K5" s="89" t="n">
        <v>91919</v>
      </c>
      <c r="L5" s="90" t="n">
        <v>45778</v>
      </c>
      <c r="M5" s="90" t="inlineStr">
        <is>
          <t>pendente</t>
        </is>
      </c>
      <c r="N5" s="99" t="n">
        <v>45796</v>
      </c>
    </row>
    <row r="6">
      <c r="A6" s="86" t="inlineStr">
        <is>
          <t>Caminhonete</t>
        </is>
      </c>
      <c r="B6" s="40" t="inlineStr">
        <is>
          <t>NISSAN FRONTIER</t>
        </is>
      </c>
      <c r="C6" s="86" t="inlineStr">
        <is>
          <t>TN 03</t>
        </is>
      </c>
      <c r="D6" s="86" t="inlineStr">
        <is>
          <t>SINAL</t>
        </is>
      </c>
      <c r="E6" s="86" t="inlineStr">
        <is>
          <t>CKS</t>
        </is>
      </c>
      <c r="F6" s="86" t="inlineStr">
        <is>
          <t>TCD7H75</t>
        </is>
      </c>
      <c r="G6" s="86" t="inlineStr">
        <is>
          <t>CARAJÁS</t>
        </is>
      </c>
      <c r="H6" s="87" t="inlineStr">
        <is>
          <t>Lucas</t>
        </is>
      </c>
      <c r="I6" s="88" t="n">
        <v>45793</v>
      </c>
      <c r="J6" s="86" t="n"/>
      <c r="K6" s="89" t="n">
        <v>14422</v>
      </c>
      <c r="L6" s="105" t="n"/>
      <c r="M6" s="90" t="inlineStr">
        <is>
          <t>pendente</t>
        </is>
      </c>
      <c r="N6" s="99" t="n">
        <v>45797</v>
      </c>
    </row>
    <row r="7">
      <c r="A7" s="100" t="inlineStr">
        <is>
          <t>Caminhonete</t>
        </is>
      </c>
      <c r="B7" s="41" t="inlineStr">
        <is>
          <t>NISSAN FRONTIER</t>
        </is>
      </c>
      <c r="C7" s="100" t="inlineStr">
        <is>
          <t>TN 75</t>
        </is>
      </c>
      <c r="D7" s="100" t="inlineStr">
        <is>
          <t>SINAL</t>
        </is>
      </c>
      <c r="E7" s="100" t="inlineStr">
        <is>
          <t>CKS</t>
        </is>
      </c>
      <c r="F7" s="100" t="inlineStr">
        <is>
          <t>RXB4A21</t>
        </is>
      </c>
      <c r="G7" s="100" t="inlineStr">
        <is>
          <t>CARAJÁS</t>
        </is>
      </c>
      <c r="H7" s="101" t="inlineStr">
        <is>
          <t xml:space="preserve">Rafael </t>
        </is>
      </c>
      <c r="I7" s="88" t="n">
        <v>45793</v>
      </c>
      <c r="J7" s="102" t="n">
        <v>80173</v>
      </c>
      <c r="K7" s="102" t="n">
        <v>80638</v>
      </c>
      <c r="L7" s="90" t="n">
        <v>45792</v>
      </c>
      <c r="M7" s="90" t="inlineStr">
        <is>
          <t>15/05 - 13/05 - ok</t>
        </is>
      </c>
      <c r="N7" s="99" t="n">
        <v>45798</v>
      </c>
    </row>
    <row r="8">
      <c r="A8" s="100" t="inlineStr">
        <is>
          <t>Caminhonete</t>
        </is>
      </c>
      <c r="B8" s="41" t="inlineStr">
        <is>
          <t>NISSAN FRONTIER</t>
        </is>
      </c>
      <c r="C8" s="100" t="inlineStr">
        <is>
          <t>TN 76</t>
        </is>
      </c>
      <c r="D8" s="100" t="inlineStr">
        <is>
          <t>SINAL</t>
        </is>
      </c>
      <c r="E8" s="100" t="inlineStr">
        <is>
          <t>CKS</t>
        </is>
      </c>
      <c r="F8" s="100" t="inlineStr">
        <is>
          <t>RXD0C41</t>
        </is>
      </c>
      <c r="G8" s="100" t="inlineStr">
        <is>
          <t>CARAJÁS</t>
        </is>
      </c>
      <c r="H8" s="101" t="inlineStr">
        <is>
          <t>WERIKLIS</t>
        </is>
      </c>
      <c r="I8" s="88" t="n">
        <v>45793</v>
      </c>
      <c r="J8" s="100" t="n"/>
      <c r="K8" s="102" t="n">
        <v>60592</v>
      </c>
      <c r="L8" s="104" t="n">
        <v>45789</v>
      </c>
      <c r="M8" s="90" t="inlineStr">
        <is>
          <t>12/05 - 15/05 - ok</t>
        </is>
      </c>
      <c r="N8" s="99" t="n">
        <v>45799</v>
      </c>
    </row>
    <row r="9">
      <c r="A9" s="100" t="inlineStr">
        <is>
          <t>Caminhonete</t>
        </is>
      </c>
      <c r="B9" s="41" t="inlineStr">
        <is>
          <t>HILLUX</t>
        </is>
      </c>
      <c r="C9" s="100" t="inlineStr">
        <is>
          <t>TN 04</t>
        </is>
      </c>
      <c r="D9" s="100" t="inlineStr">
        <is>
          <t>SINAL</t>
        </is>
      </c>
      <c r="E9" s="100" t="inlineStr">
        <is>
          <t>CKS</t>
        </is>
      </c>
      <c r="F9" s="100" t="inlineStr">
        <is>
          <t>TDM2E37</t>
        </is>
      </c>
      <c r="G9" s="100" t="inlineStr">
        <is>
          <t>CARAJÁS</t>
        </is>
      </c>
      <c r="H9" s="101" t="inlineStr">
        <is>
          <t>MATHEUS</t>
        </is>
      </c>
      <c r="I9" s="88" t="n">
        <v>45793</v>
      </c>
      <c r="J9" s="102" t="n">
        <v>4870</v>
      </c>
      <c r="K9" s="102" t="n">
        <v>5379</v>
      </c>
      <c r="L9" s="111" t="n">
        <v>45778</v>
      </c>
      <c r="M9" s="90" t="inlineStr">
        <is>
          <t>pendente</t>
        </is>
      </c>
      <c r="N9" s="99" t="n">
        <v>45798</v>
      </c>
    </row>
    <row r="10">
      <c r="A10" s="100" t="inlineStr">
        <is>
          <t>Leve</t>
        </is>
      </c>
      <c r="B10" s="41" t="inlineStr">
        <is>
          <t>Tracker</t>
        </is>
      </c>
      <c r="C10" s="100" t="inlineStr">
        <is>
          <t>TN 01</t>
        </is>
      </c>
      <c r="D10" s="100" t="inlineStr">
        <is>
          <t>Localiza</t>
        </is>
      </c>
      <c r="E10" s="100" t="inlineStr">
        <is>
          <t>CKS</t>
        </is>
      </c>
      <c r="F10" s="100" t="inlineStr">
        <is>
          <t>TCO2C15</t>
        </is>
      </c>
      <c r="G10" s="100" t="inlineStr">
        <is>
          <t>CARAJÁS</t>
        </is>
      </c>
      <c r="H10" s="101" t="inlineStr">
        <is>
          <t>Fabricio Maia</t>
        </is>
      </c>
      <c r="I10" s="88" t="n">
        <v>45793</v>
      </c>
      <c r="J10" s="100" t="n"/>
      <c r="K10" s="100" t="n"/>
      <c r="L10" s="104" t="n">
        <v>45764</v>
      </c>
      <c r="M10" s="90" t="inlineStr">
        <is>
          <t>pendente</t>
        </is>
      </c>
      <c r="N10" s="99" t="n">
        <v>45797</v>
      </c>
    </row>
    <row r="11">
      <c r="A11" s="86" t="inlineStr">
        <is>
          <t>Caminhonete</t>
        </is>
      </c>
      <c r="B11" s="40" t="inlineStr">
        <is>
          <t xml:space="preserve">L200 - Triton </t>
        </is>
      </c>
      <c r="C11" s="86" t="inlineStr">
        <is>
          <t>TN 73</t>
        </is>
      </c>
      <c r="D11" s="86" t="inlineStr">
        <is>
          <t>SINAL</t>
        </is>
      </c>
      <c r="E11" s="86" t="inlineStr">
        <is>
          <t>CKS</t>
        </is>
      </c>
      <c r="F11" s="86" t="inlineStr">
        <is>
          <t>RXC2D41</t>
        </is>
      </c>
      <c r="G11" s="86" t="inlineStr">
        <is>
          <t>CARAJÁS</t>
        </is>
      </c>
      <c r="H11" s="87" t="inlineStr">
        <is>
          <t>William</t>
        </is>
      </c>
      <c r="I11" s="88" t="n">
        <v>45793</v>
      </c>
      <c r="J11" s="89" t="n">
        <v>42106</v>
      </c>
      <c r="K11" s="89" t="n">
        <v>42263</v>
      </c>
      <c r="L11" s="104" t="n">
        <v>45784</v>
      </c>
      <c r="M11" s="90" t="inlineStr">
        <is>
          <t>pendente</t>
        </is>
      </c>
      <c r="N11" s="99" t="n">
        <v>45797</v>
      </c>
    </row>
    <row r="12">
      <c r="A12" s="311" t="inlineStr">
        <is>
          <t>Veículos - Novos Cadastros</t>
        </is>
      </c>
      <c r="B12" s="323" t="n"/>
      <c r="C12" s="323" t="n"/>
      <c r="D12" s="323" t="n"/>
      <c r="E12" s="323" t="n"/>
      <c r="F12" s="323" t="n"/>
      <c r="G12" s="323" t="n"/>
      <c r="H12" s="323" t="n"/>
      <c r="I12" s="323" t="n"/>
      <c r="J12" s="323" t="n"/>
      <c r="K12" s="323" t="n"/>
      <c r="L12" s="323" t="n"/>
      <c r="M12" s="323" t="n"/>
      <c r="N12" s="323" t="n"/>
    </row>
    <row r="13">
      <c r="A13" s="82" t="inlineStr">
        <is>
          <t>Tipo</t>
        </is>
      </c>
      <c r="B13" s="82" t="inlineStr">
        <is>
          <t xml:space="preserve">Modelos </t>
        </is>
      </c>
      <c r="C13" s="82" t="inlineStr">
        <is>
          <t>Tag</t>
        </is>
      </c>
      <c r="D13" s="82" t="inlineStr">
        <is>
          <t>Locadora</t>
        </is>
      </c>
      <c r="E13" s="82" t="inlineStr">
        <is>
          <t>Localidade</t>
        </is>
      </c>
      <c r="F13" s="82" t="inlineStr">
        <is>
          <t>Placa</t>
        </is>
      </c>
      <c r="G13" s="82" t="inlineStr">
        <is>
          <t>SSO</t>
        </is>
      </c>
      <c r="H13" s="82" t="inlineStr">
        <is>
          <t>Condutores</t>
        </is>
      </c>
      <c r="I13" s="82" t="inlineStr">
        <is>
          <t>SEMANA 01</t>
        </is>
      </c>
      <c r="J13" s="82" t="n"/>
      <c r="K13" s="82" t="inlineStr">
        <is>
          <t xml:space="preserve">KM  </t>
        </is>
      </c>
      <c r="L13" s="82" t="n"/>
      <c r="M13" s="82" t="n"/>
      <c r="N13" s="85" t="inlineStr">
        <is>
          <t>Prox. Lavagem</t>
        </is>
      </c>
    </row>
    <row r="14">
      <c r="A14" s="81" t="n"/>
      <c r="B14" s="81" t="n"/>
      <c r="C14" s="81" t="n"/>
      <c r="D14" s="81" t="n"/>
      <c r="E14" s="81" t="n"/>
      <c r="F14" s="81" t="n"/>
      <c r="G14" s="81" t="n"/>
      <c r="H14" s="81" t="n"/>
      <c r="I14" s="81" t="n"/>
      <c r="J14" s="81" t="n"/>
      <c r="K14" s="81" t="n"/>
      <c r="L14" s="112" t="n"/>
      <c r="M14" s="81" t="n"/>
      <c r="N14" s="81" t="n"/>
    </row>
    <row r="15">
      <c r="A15" s="81" t="n"/>
      <c r="B15" s="81" t="n"/>
      <c r="C15" s="81" t="n"/>
      <c r="D15" s="81" t="n"/>
      <c r="E15" s="81" t="n"/>
      <c r="F15" s="81" t="n"/>
      <c r="G15" s="81" t="n"/>
      <c r="H15" s="81" t="n"/>
      <c r="I15" s="81" t="n"/>
      <c r="J15" s="81" t="n"/>
      <c r="K15" s="81" t="n"/>
      <c r="L15" s="81" t="n"/>
      <c r="M15" s="81" t="n"/>
      <c r="N15" s="81" t="n"/>
    </row>
    <row r="16">
      <c r="A16" s="81" t="n"/>
      <c r="B16" s="81" t="n"/>
      <c r="C16" s="81" t="n"/>
      <c r="D16" s="81" t="n"/>
      <c r="E16" s="81" t="n"/>
      <c r="F16" s="81" t="n"/>
      <c r="L16" s="81" t="n"/>
      <c r="M16" s="81" t="n"/>
      <c r="N16" s="81" t="n"/>
    </row>
  </sheetData>
  <mergeCells count="1">
    <mergeCell ref="A12:N12"/>
  </mergeCells>
  <pageMargins left="0.511811024" right="0.511811024" top="0.787401575" bottom="0.787401575" header="0.31496062" footer="0.31496062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0"/>
  <sheetViews>
    <sheetView zoomScale="79" zoomScaleNormal="79" workbookViewId="0">
      <selection activeCell="B20" sqref="B20"/>
    </sheetView>
  </sheetViews>
  <sheetFormatPr baseColWidth="8" defaultRowHeight="14.3"/>
  <cols>
    <col width="19.375" bestFit="1" customWidth="1" min="1" max="1"/>
    <col width="15.625" bestFit="1" customWidth="1" min="2" max="2"/>
    <col width="18.5" bestFit="1" customWidth="1" min="8" max="8"/>
    <col width="10.875" bestFit="1" customWidth="1" min="9" max="9"/>
    <col width="12.625" bestFit="1" customWidth="1" min="10" max="10"/>
    <col width="13.875" bestFit="1" customWidth="1" min="12" max="12"/>
    <col width="25.625" bestFit="1" customWidth="1" min="13" max="13"/>
    <col width="13" bestFit="1" customWidth="1" min="14" max="14"/>
  </cols>
  <sheetData>
    <row r="1">
      <c r="A1" s="77" t="inlineStr">
        <is>
          <t xml:space="preserve">Veículos Cadastrados 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9" t="n"/>
      <c r="M1" s="80" t="n"/>
      <c r="N1" s="81" t="n"/>
    </row>
    <row r="2">
      <c r="A2" s="82" t="inlineStr">
        <is>
          <t>Tipo</t>
        </is>
      </c>
      <c r="B2" s="82" t="inlineStr">
        <is>
          <t xml:space="preserve">Modelos </t>
        </is>
      </c>
      <c r="C2" s="82" t="inlineStr">
        <is>
          <t>Tag</t>
        </is>
      </c>
      <c r="D2" s="82" t="inlineStr">
        <is>
          <t>Locadora</t>
        </is>
      </c>
      <c r="E2" s="82" t="inlineStr">
        <is>
          <t>Localidade</t>
        </is>
      </c>
      <c r="F2" s="82" t="inlineStr">
        <is>
          <t>Placa</t>
        </is>
      </c>
      <c r="G2" s="82" t="inlineStr">
        <is>
          <t>SSO</t>
        </is>
      </c>
      <c r="H2" s="82" t="inlineStr">
        <is>
          <t>Condutores</t>
        </is>
      </c>
      <c r="I2" s="82" t="inlineStr">
        <is>
          <t>SEMANA 05</t>
        </is>
      </c>
      <c r="J2" s="82" t="inlineStr">
        <is>
          <t>KM ANTERIOR</t>
        </is>
      </c>
      <c r="K2" s="82" t="inlineStr">
        <is>
          <t>KM  ATUAL</t>
        </is>
      </c>
      <c r="L2" s="83" t="inlineStr">
        <is>
          <t>Ultima lavagem</t>
        </is>
      </c>
      <c r="M2" s="84" t="inlineStr">
        <is>
          <t>lavagem programada S-1</t>
        </is>
      </c>
      <c r="N2" s="85" t="inlineStr">
        <is>
          <t>Prox. Lavagem</t>
        </is>
      </c>
    </row>
    <row r="3">
      <c r="A3" s="86" t="inlineStr">
        <is>
          <t>Caminhonete</t>
        </is>
      </c>
      <c r="B3" s="40" t="inlineStr">
        <is>
          <t>CHEVROLET S10</t>
        </is>
      </c>
      <c r="C3" s="86" t="inlineStr">
        <is>
          <t>TN 29</t>
        </is>
      </c>
      <c r="D3" s="86" t="inlineStr">
        <is>
          <t>Sonda</t>
        </is>
      </c>
      <c r="E3" s="86" t="inlineStr">
        <is>
          <t>CKS</t>
        </is>
      </c>
      <c r="F3" s="86" t="inlineStr">
        <is>
          <t>FXR0F35</t>
        </is>
      </c>
      <c r="G3" s="86" t="inlineStr">
        <is>
          <t>CARAJÁS</t>
        </is>
      </c>
      <c r="H3" s="87" t="inlineStr">
        <is>
          <t>JOÃO TAVARES</t>
        </is>
      </c>
      <c r="I3" s="88" t="n">
        <v>45777</v>
      </c>
      <c r="J3" s="89" t="n">
        <v>154139</v>
      </c>
      <c r="K3" s="89" t="n">
        <v>154675</v>
      </c>
      <c r="L3" s="90" t="n">
        <v>45757</v>
      </c>
      <c r="M3" s="91" t="inlineStr">
        <is>
          <t>pendente</t>
        </is>
      </c>
      <c r="N3" s="92" t="n">
        <v>45782</v>
      </c>
    </row>
    <row r="4">
      <c r="A4" s="93" t="inlineStr">
        <is>
          <t>Caminhonete</t>
        </is>
      </c>
      <c r="B4" s="94" t="inlineStr">
        <is>
          <t>Hillux</t>
        </is>
      </c>
      <c r="C4" s="93" t="inlineStr">
        <is>
          <t>TN 31</t>
        </is>
      </c>
      <c r="D4" s="93" t="inlineStr">
        <is>
          <t>SINAL</t>
        </is>
      </c>
      <c r="E4" s="93" t="inlineStr">
        <is>
          <t>CKS</t>
        </is>
      </c>
      <c r="F4" s="93" t="inlineStr">
        <is>
          <t>TCD7168</t>
        </is>
      </c>
      <c r="G4" s="93" t="inlineStr">
        <is>
          <t>CARAJÁS</t>
        </is>
      </c>
      <c r="H4" s="95" t="inlineStr">
        <is>
          <t>Lucas</t>
        </is>
      </c>
      <c r="I4" s="109" t="n">
        <v>45777</v>
      </c>
      <c r="J4" s="93" t="n"/>
      <c r="K4" s="93" t="n"/>
      <c r="L4" s="96" t="n"/>
      <c r="M4" s="97" t="n"/>
      <c r="N4" s="97" t="n"/>
    </row>
    <row r="5">
      <c r="A5" s="86" t="inlineStr">
        <is>
          <t>Caminhonete</t>
        </is>
      </c>
      <c r="B5" s="40" t="inlineStr">
        <is>
          <t xml:space="preserve">FORD RANGER </t>
        </is>
      </c>
      <c r="C5" s="86" t="inlineStr">
        <is>
          <t>TN 72</t>
        </is>
      </c>
      <c r="D5" s="86" t="inlineStr">
        <is>
          <t>Sonda</t>
        </is>
      </c>
      <c r="E5" s="86" t="inlineStr">
        <is>
          <t>CKS</t>
        </is>
      </c>
      <c r="F5" s="86" t="inlineStr">
        <is>
          <t>FXD9A18</t>
        </is>
      </c>
      <c r="G5" s="86" t="inlineStr">
        <is>
          <t>CARAJÁS</t>
        </is>
      </c>
      <c r="H5" s="87" t="inlineStr">
        <is>
          <t>RAIMUNDO CHARLES</t>
        </is>
      </c>
      <c r="I5" s="88" t="n">
        <v>45777</v>
      </c>
      <c r="J5" s="89" t="n">
        <v>90189</v>
      </c>
      <c r="K5" s="89" t="n">
        <v>90513</v>
      </c>
      <c r="L5" s="90" t="n">
        <v>45776</v>
      </c>
      <c r="M5" s="98" t="inlineStr">
        <is>
          <t>29/04 - 29/04 - ok</t>
        </is>
      </c>
      <c r="N5" s="99" t="n">
        <v>45784</v>
      </c>
    </row>
    <row r="6">
      <c r="A6" s="93" t="inlineStr">
        <is>
          <t>Caminhonete</t>
        </is>
      </c>
      <c r="B6" s="94" t="inlineStr">
        <is>
          <t>NISSAN FRONTIER</t>
        </is>
      </c>
      <c r="C6" s="93" t="inlineStr">
        <is>
          <t>TN 03</t>
        </is>
      </c>
      <c r="D6" s="93" t="inlineStr">
        <is>
          <t>SINAL</t>
        </is>
      </c>
      <c r="E6" s="93" t="inlineStr">
        <is>
          <t>CKS</t>
        </is>
      </c>
      <c r="F6" s="93" t="inlineStr">
        <is>
          <t>TCD7H75</t>
        </is>
      </c>
      <c r="G6" s="93" t="inlineStr">
        <is>
          <t>CARAJÁS</t>
        </is>
      </c>
      <c r="H6" s="95" t="inlineStr">
        <is>
          <t>Lucas</t>
        </is>
      </c>
      <c r="I6" s="109" t="n">
        <v>45777</v>
      </c>
      <c r="J6" s="93" t="n"/>
      <c r="K6" s="93" t="n"/>
      <c r="L6" s="96" t="n"/>
      <c r="M6" s="97" t="n"/>
      <c r="N6" s="97" t="n"/>
    </row>
    <row r="7">
      <c r="A7" s="100" t="inlineStr">
        <is>
          <t>Caminhonete</t>
        </is>
      </c>
      <c r="B7" s="41" t="inlineStr">
        <is>
          <t>NISSAN FRONTIER</t>
        </is>
      </c>
      <c r="C7" s="100" t="inlineStr">
        <is>
          <t>TN 74</t>
        </is>
      </c>
      <c r="D7" s="100" t="inlineStr">
        <is>
          <t>SINAL</t>
        </is>
      </c>
      <c r="E7" s="100" t="inlineStr">
        <is>
          <t>CKS</t>
        </is>
      </c>
      <c r="F7" s="100" t="inlineStr">
        <is>
          <t>RXD1B11</t>
        </is>
      </c>
      <c r="G7" s="100" t="inlineStr">
        <is>
          <t>CARAJÁS</t>
        </is>
      </c>
      <c r="H7" s="101" t="inlineStr">
        <is>
          <t>MATHEUS</t>
        </is>
      </c>
      <c r="I7" s="88" t="n">
        <v>45777</v>
      </c>
      <c r="J7" s="102" t="n">
        <v>44599</v>
      </c>
      <c r="K7" s="102" t="n">
        <v>45317</v>
      </c>
      <c r="L7" s="103" t="n">
        <v>45769</v>
      </c>
      <c r="M7" s="110" t="inlineStr">
        <is>
          <t>pendente</t>
        </is>
      </c>
      <c r="N7" s="99" t="n">
        <v>45782</v>
      </c>
    </row>
    <row r="8">
      <c r="A8" s="100" t="inlineStr">
        <is>
          <t>Caminhonete</t>
        </is>
      </c>
      <c r="B8" s="41" t="inlineStr">
        <is>
          <t>NISSAN FRONTIER</t>
        </is>
      </c>
      <c r="C8" s="100" t="inlineStr">
        <is>
          <t>TN 75</t>
        </is>
      </c>
      <c r="D8" s="100" t="inlineStr">
        <is>
          <t>SINAL</t>
        </is>
      </c>
      <c r="E8" s="100" t="inlineStr">
        <is>
          <t>CKS</t>
        </is>
      </c>
      <c r="F8" s="100" t="inlineStr">
        <is>
          <t>RXB4A21</t>
        </is>
      </c>
      <c r="G8" s="100" t="inlineStr">
        <is>
          <t>CARAJÁS</t>
        </is>
      </c>
      <c r="H8" s="101" t="inlineStr">
        <is>
          <t xml:space="preserve">Rafael </t>
        </is>
      </c>
      <c r="I8" s="88" t="n">
        <v>45777</v>
      </c>
      <c r="J8" s="102" t="n">
        <v>79411</v>
      </c>
      <c r="K8" s="102" t="n">
        <v>79662</v>
      </c>
      <c r="L8" s="104" t="n">
        <v>45775</v>
      </c>
      <c r="M8" s="98" t="inlineStr">
        <is>
          <t>28/04 - 30/04 - ok</t>
        </is>
      </c>
      <c r="N8" s="99" t="n">
        <v>45781</v>
      </c>
    </row>
    <row r="9">
      <c r="A9" s="100" t="inlineStr">
        <is>
          <t>Caminhonete</t>
        </is>
      </c>
      <c r="B9" s="41" t="inlineStr">
        <is>
          <t>NISSAN FRONTIER</t>
        </is>
      </c>
      <c r="C9" s="100" t="inlineStr">
        <is>
          <t>TN 76</t>
        </is>
      </c>
      <c r="D9" s="100" t="inlineStr">
        <is>
          <t>SINAL</t>
        </is>
      </c>
      <c r="E9" s="100" t="inlineStr">
        <is>
          <t>CKS</t>
        </is>
      </c>
      <c r="F9" s="100" t="inlineStr">
        <is>
          <t>RXD0C41</t>
        </is>
      </c>
      <c r="G9" s="100" t="inlineStr">
        <is>
          <t>CARAJÁS</t>
        </is>
      </c>
      <c r="H9" s="101" t="inlineStr">
        <is>
          <t>WERIKLIS</t>
        </is>
      </c>
      <c r="I9" s="88" t="n">
        <v>45777</v>
      </c>
      <c r="J9" s="102" t="n">
        <v>59740</v>
      </c>
      <c r="K9" s="102" t="n">
        <v>59928</v>
      </c>
      <c r="L9" s="104" t="n">
        <v>45777</v>
      </c>
      <c r="M9" s="98" t="inlineStr">
        <is>
          <t>30/04 - 30/04 - ok</t>
        </is>
      </c>
      <c r="N9" s="99" t="n">
        <v>45784</v>
      </c>
    </row>
    <row r="10">
      <c r="A10" s="100" t="inlineStr">
        <is>
          <t>Caminhonete</t>
        </is>
      </c>
      <c r="B10" s="41" t="inlineStr">
        <is>
          <t>HILLUX</t>
        </is>
      </c>
      <c r="C10" s="100" t="inlineStr">
        <is>
          <t>TN 04</t>
        </is>
      </c>
      <c r="D10" s="100" t="inlineStr">
        <is>
          <t>SINAL</t>
        </is>
      </c>
      <c r="E10" s="100" t="inlineStr">
        <is>
          <t>CKS</t>
        </is>
      </c>
      <c r="F10" s="100" t="inlineStr">
        <is>
          <t>TDM2E37</t>
        </is>
      </c>
      <c r="G10" s="100" t="inlineStr">
        <is>
          <t>CARAJÁS</t>
        </is>
      </c>
      <c r="H10" s="101" t="inlineStr">
        <is>
          <t>MATHEUS</t>
        </is>
      </c>
      <c r="I10" s="88" t="n">
        <v>45777</v>
      </c>
      <c r="J10" s="102" t="n">
        <v>3754</v>
      </c>
      <c r="K10" s="102" t="n">
        <v>4074</v>
      </c>
      <c r="L10" s="105" t="n"/>
      <c r="M10" s="98" t="inlineStr">
        <is>
          <t>sera levada durante o feriado</t>
        </is>
      </c>
      <c r="N10" s="99" t="n">
        <v>45778</v>
      </c>
    </row>
    <row r="11">
      <c r="A11" s="100" t="inlineStr">
        <is>
          <t>Leve</t>
        </is>
      </c>
      <c r="B11" s="41" t="inlineStr">
        <is>
          <t>Tracker</t>
        </is>
      </c>
      <c r="C11" s="100" t="inlineStr">
        <is>
          <t>TN 01</t>
        </is>
      </c>
      <c r="D11" s="100" t="inlineStr">
        <is>
          <t>Localiza</t>
        </is>
      </c>
      <c r="E11" s="100" t="inlineStr">
        <is>
          <t>CKS</t>
        </is>
      </c>
      <c r="F11" s="100" t="inlineStr">
        <is>
          <t>TCO2C15</t>
        </is>
      </c>
      <c r="G11" s="100" t="inlineStr">
        <is>
          <t>CARAJÁS</t>
        </is>
      </c>
      <c r="H11" s="101" t="inlineStr">
        <is>
          <t>Fabricio Maia</t>
        </is>
      </c>
      <c r="I11" s="88" t="n">
        <v>45777</v>
      </c>
      <c r="J11" s="100" t="inlineStr">
        <is>
          <t>-</t>
        </is>
      </c>
      <c r="K11" s="100" t="n"/>
      <c r="L11" s="104" t="n">
        <v>45764</v>
      </c>
      <c r="M11" s="91" t="inlineStr">
        <is>
          <t>pendente</t>
        </is>
      </c>
      <c r="N11" s="99" t="n">
        <v>45775</v>
      </c>
    </row>
    <row r="12">
      <c r="A12" s="93" t="inlineStr">
        <is>
          <t>Caminhonete</t>
        </is>
      </c>
      <c r="B12" s="94" t="inlineStr">
        <is>
          <t xml:space="preserve">L200 - Triton </t>
        </is>
      </c>
      <c r="C12" s="93" t="inlineStr">
        <is>
          <t>TN 73</t>
        </is>
      </c>
      <c r="D12" s="93" t="inlineStr">
        <is>
          <t>SINAL</t>
        </is>
      </c>
      <c r="E12" s="93" t="inlineStr">
        <is>
          <t>CKS</t>
        </is>
      </c>
      <c r="F12" s="93" t="inlineStr">
        <is>
          <t>RXC2D41</t>
        </is>
      </c>
      <c r="G12" s="93" t="inlineStr">
        <is>
          <t>CARAJÁS</t>
        </is>
      </c>
      <c r="H12" s="95" t="inlineStr">
        <is>
          <t>William</t>
        </is>
      </c>
      <c r="I12" s="109" t="n">
        <v>45777</v>
      </c>
      <c r="J12" s="106" t="n">
        <v>41601</v>
      </c>
      <c r="K12" s="106" t="n">
        <v>41793</v>
      </c>
      <c r="L12" s="107" t="n">
        <v>45805</v>
      </c>
      <c r="M12" s="97" t="inlineStr">
        <is>
          <t>28/05 - 30/05 - ok</t>
        </is>
      </c>
      <c r="N12" s="108" t="n">
        <v>45782</v>
      </c>
    </row>
    <row r="13">
      <c r="A13" s="311" t="inlineStr">
        <is>
          <t>Veículos - Novos Cadastros</t>
        </is>
      </c>
      <c r="B13" s="323" t="n"/>
      <c r="C13" s="323" t="n"/>
      <c r="D13" s="323" t="n"/>
      <c r="E13" s="323" t="n"/>
      <c r="F13" s="323" t="n"/>
      <c r="G13" s="323" t="n"/>
      <c r="H13" s="323" t="n"/>
      <c r="I13" s="323" t="n"/>
      <c r="J13" s="323" t="n"/>
      <c r="K13" s="323" t="n"/>
      <c r="L13" s="323" t="n"/>
      <c r="M13" s="323" t="n"/>
      <c r="N13" s="323" t="n"/>
    </row>
    <row r="14">
      <c r="A14" s="82" t="inlineStr">
        <is>
          <t>Tipo</t>
        </is>
      </c>
      <c r="B14" s="82" t="inlineStr">
        <is>
          <t xml:space="preserve">Modelos </t>
        </is>
      </c>
      <c r="C14" s="82" t="inlineStr">
        <is>
          <t>Tag</t>
        </is>
      </c>
      <c r="D14" s="82" t="inlineStr">
        <is>
          <t>Locadora</t>
        </is>
      </c>
      <c r="E14" s="82" t="inlineStr">
        <is>
          <t>Localidade</t>
        </is>
      </c>
      <c r="F14" s="82" t="inlineStr">
        <is>
          <t>Placa</t>
        </is>
      </c>
      <c r="G14" s="82" t="inlineStr">
        <is>
          <t>SSO</t>
        </is>
      </c>
      <c r="H14" s="82" t="inlineStr">
        <is>
          <t>Condutores</t>
        </is>
      </c>
      <c r="I14" s="82" t="inlineStr">
        <is>
          <t>SEMANA 01</t>
        </is>
      </c>
      <c r="J14" s="82" t="n"/>
      <c r="K14" s="82" t="inlineStr">
        <is>
          <t xml:space="preserve">KM  </t>
        </is>
      </c>
      <c r="L14" s="82" t="n"/>
      <c r="M14" s="82" t="n"/>
      <c r="N14" s="85" t="inlineStr">
        <is>
          <t>Prox. Lavagem</t>
        </is>
      </c>
    </row>
    <row r="15"/>
    <row r="16"/>
    <row r="17"/>
    <row r="18">
      <c r="H18" s="307" t="inlineStr">
        <is>
          <t>TN 73 Necessita mobilizar novamente</t>
        </is>
      </c>
      <c r="I18" s="323" t="n"/>
      <c r="J18" s="323" t="n"/>
      <c r="K18" s="323" t="n"/>
      <c r="L18" s="323" t="n"/>
    </row>
    <row r="19">
      <c r="H19" s="307" t="inlineStr">
        <is>
          <t>TN 31 em mobilização</t>
        </is>
      </c>
      <c r="I19" s="323" t="n"/>
      <c r="J19" s="323" t="n"/>
      <c r="K19" s="323" t="n"/>
      <c r="L19" s="323" t="n"/>
    </row>
    <row r="20">
      <c r="H20" s="307" t="inlineStr">
        <is>
          <t>TN 03 substituida e esta em mobilização</t>
        </is>
      </c>
      <c r="I20" s="323" t="n"/>
      <c r="J20" s="323" t="n"/>
      <c r="K20" s="323" t="n"/>
      <c r="L20" s="323" t="n"/>
    </row>
  </sheetData>
  <mergeCells count="4">
    <mergeCell ref="H18:L18"/>
    <mergeCell ref="A13:N13"/>
    <mergeCell ref="H20:L20"/>
    <mergeCell ref="H19:L19"/>
  </mergeCell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I9" sqref="I9"/>
    </sheetView>
  </sheetViews>
  <sheetFormatPr baseColWidth="8" defaultRowHeight="14.3"/>
  <cols>
    <col width="19.375" bestFit="1" customWidth="1" min="1" max="1"/>
    <col width="15.625" bestFit="1" customWidth="1" min="2" max="2"/>
    <col width="10.5" bestFit="1" customWidth="1" min="9" max="9"/>
    <col width="13.875" bestFit="1" customWidth="1" min="12" max="12"/>
    <col width="21.625" bestFit="1" customWidth="1" min="13" max="13"/>
    <col width="13" bestFit="1" customWidth="1" min="14" max="14"/>
  </cols>
  <sheetData>
    <row r="1">
      <c r="A1" s="77" t="inlineStr">
        <is>
          <t xml:space="preserve">Veículos Cadastrados 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9" t="n"/>
      <c r="M1" s="80" t="n"/>
      <c r="N1" s="81" t="n"/>
    </row>
    <row r="2">
      <c r="A2" s="82" t="inlineStr">
        <is>
          <t>Tipo</t>
        </is>
      </c>
      <c r="B2" s="82" t="inlineStr">
        <is>
          <t xml:space="preserve">Modelos </t>
        </is>
      </c>
      <c r="C2" s="82" t="inlineStr">
        <is>
          <t>Tag</t>
        </is>
      </c>
      <c r="D2" s="82" t="inlineStr">
        <is>
          <t>Locadora</t>
        </is>
      </c>
      <c r="E2" s="82" t="inlineStr">
        <is>
          <t>Localidade</t>
        </is>
      </c>
      <c r="F2" s="82" t="inlineStr">
        <is>
          <t>Placa</t>
        </is>
      </c>
      <c r="G2" s="82" t="inlineStr">
        <is>
          <t>SSO</t>
        </is>
      </c>
      <c r="H2" s="82" t="inlineStr">
        <is>
          <t>Condutores</t>
        </is>
      </c>
      <c r="I2" s="82" t="inlineStr">
        <is>
          <t>SEMANA 01</t>
        </is>
      </c>
      <c r="J2" s="82" t="inlineStr">
        <is>
          <t>KM ANTERIOR</t>
        </is>
      </c>
      <c r="K2" s="82" t="inlineStr">
        <is>
          <t>KM  ATUAL</t>
        </is>
      </c>
      <c r="L2" s="83" t="inlineStr">
        <is>
          <t>Ultima lavagem</t>
        </is>
      </c>
      <c r="M2" s="84" t="inlineStr">
        <is>
          <t>lavagem programada S-1</t>
        </is>
      </c>
      <c r="N2" s="85" t="inlineStr">
        <is>
          <t>Prox. Lavagem</t>
        </is>
      </c>
    </row>
    <row r="3">
      <c r="A3" s="86" t="inlineStr">
        <is>
          <t>Caminhonete</t>
        </is>
      </c>
      <c r="B3" s="40" t="inlineStr">
        <is>
          <t>CHEVROLET S10</t>
        </is>
      </c>
      <c r="C3" s="86" t="inlineStr">
        <is>
          <t>TN 29</t>
        </is>
      </c>
      <c r="D3" s="86" t="inlineStr">
        <is>
          <t>Sonda</t>
        </is>
      </c>
      <c r="E3" s="86" t="inlineStr">
        <is>
          <t>CKS</t>
        </is>
      </c>
      <c r="F3" s="86" t="inlineStr">
        <is>
          <t>FXR0F35</t>
        </is>
      </c>
      <c r="G3" s="86" t="inlineStr">
        <is>
          <t>CARAJÁS</t>
        </is>
      </c>
      <c r="H3" s="87" t="inlineStr">
        <is>
          <t>JOÃO TAVARES</t>
        </is>
      </c>
      <c r="I3" s="88" t="n">
        <v>45786</v>
      </c>
      <c r="J3" s="89" t="n">
        <v>154675</v>
      </c>
      <c r="K3" s="89" t="n">
        <v>155432</v>
      </c>
      <c r="L3" s="90" t="n">
        <v>45784</v>
      </c>
      <c r="M3" s="98" t="inlineStr">
        <is>
          <t>07/05 - 07/05 - ok</t>
        </is>
      </c>
      <c r="N3" s="99" t="n">
        <v>45790</v>
      </c>
    </row>
    <row r="4">
      <c r="A4" s="86" t="inlineStr">
        <is>
          <t>Caminhonete</t>
        </is>
      </c>
      <c r="B4" s="40" t="inlineStr">
        <is>
          <t>Hillux</t>
        </is>
      </c>
      <c r="C4" s="86" t="inlineStr">
        <is>
          <t>TN 31</t>
        </is>
      </c>
      <c r="D4" s="86" t="inlineStr">
        <is>
          <t>SINAL</t>
        </is>
      </c>
      <c r="E4" s="86" t="inlineStr">
        <is>
          <t>CKS</t>
        </is>
      </c>
      <c r="F4" s="86" t="inlineStr">
        <is>
          <t>TCD7168</t>
        </is>
      </c>
      <c r="G4" s="86" t="inlineStr">
        <is>
          <t>CARAJÁS</t>
        </is>
      </c>
      <c r="H4" s="87" t="inlineStr">
        <is>
          <t>Lucas</t>
        </is>
      </c>
      <c r="I4" s="88" t="n">
        <v>45786</v>
      </c>
      <c r="J4" s="86" t="n"/>
      <c r="K4" s="89" t="n">
        <v>15405</v>
      </c>
      <c r="L4" s="105" t="n"/>
      <c r="M4" s="98" t="n"/>
      <c r="N4" s="98" t="n"/>
    </row>
    <row r="5">
      <c r="A5" s="86" t="inlineStr">
        <is>
          <t>Caminhonete</t>
        </is>
      </c>
      <c r="B5" s="40" t="inlineStr">
        <is>
          <t xml:space="preserve">FORD RANGER </t>
        </is>
      </c>
      <c r="C5" s="86" t="inlineStr">
        <is>
          <t>TN 72</t>
        </is>
      </c>
      <c r="D5" s="86" t="inlineStr">
        <is>
          <t>Sonda</t>
        </is>
      </c>
      <c r="E5" s="86" t="inlineStr">
        <is>
          <t>CKS</t>
        </is>
      </c>
      <c r="F5" s="86" t="inlineStr">
        <is>
          <t>FXD9A18</t>
        </is>
      </c>
      <c r="G5" s="86" t="inlineStr">
        <is>
          <t>CARAJÁS</t>
        </is>
      </c>
      <c r="H5" s="87" t="inlineStr">
        <is>
          <t>RAIMUNDO CHARLES</t>
        </is>
      </c>
      <c r="I5" s="88" t="n">
        <v>45786</v>
      </c>
      <c r="J5" s="89" t="n">
        <v>90513</v>
      </c>
      <c r="K5" s="89" t="n">
        <v>91255</v>
      </c>
      <c r="L5" s="90" t="n">
        <v>45778</v>
      </c>
      <c r="M5" s="91" t="inlineStr">
        <is>
          <t>pendente</t>
        </is>
      </c>
      <c r="N5" s="99" t="n">
        <v>45791</v>
      </c>
    </row>
    <row r="6">
      <c r="A6" s="86" t="inlineStr">
        <is>
          <t>Caminhonete</t>
        </is>
      </c>
      <c r="B6" s="40" t="inlineStr">
        <is>
          <t>NISSAN FRONTIER</t>
        </is>
      </c>
      <c r="C6" s="86" t="inlineStr">
        <is>
          <t>TN 03</t>
        </is>
      </c>
      <c r="D6" s="86" t="inlineStr">
        <is>
          <t>SINAL</t>
        </is>
      </c>
      <c r="E6" s="86" t="inlineStr">
        <is>
          <t>CKS</t>
        </is>
      </c>
      <c r="F6" s="86" t="inlineStr">
        <is>
          <t>TCD7H75</t>
        </is>
      </c>
      <c r="G6" s="86" t="inlineStr">
        <is>
          <t>CARAJÁS</t>
        </is>
      </c>
      <c r="H6" s="87" t="inlineStr">
        <is>
          <t>Lucas</t>
        </is>
      </c>
      <c r="I6" s="88" t="n">
        <v>45786</v>
      </c>
      <c r="J6" s="86" t="n"/>
      <c r="K6" s="86" t="n"/>
      <c r="L6" s="105" t="n"/>
      <c r="M6" s="98" t="n"/>
      <c r="N6" s="98" t="n"/>
    </row>
    <row r="7">
      <c r="A7" s="100" t="inlineStr">
        <is>
          <t>Caminhonete</t>
        </is>
      </c>
      <c r="B7" s="41" t="inlineStr">
        <is>
          <t>NISSAN FRONTIER</t>
        </is>
      </c>
      <c r="C7" s="100" t="inlineStr">
        <is>
          <t>TN 74</t>
        </is>
      </c>
      <c r="D7" s="100" t="inlineStr">
        <is>
          <t>SINAL</t>
        </is>
      </c>
      <c r="E7" s="100" t="inlineStr">
        <is>
          <t>CKS</t>
        </is>
      </c>
      <c r="F7" s="100" t="inlineStr">
        <is>
          <t>RXD1B11</t>
        </is>
      </c>
      <c r="G7" s="100" t="inlineStr">
        <is>
          <t>CARAJÁS</t>
        </is>
      </c>
      <c r="H7" s="101" t="inlineStr">
        <is>
          <t>Ederson</t>
        </is>
      </c>
      <c r="I7" s="88" t="n">
        <v>45786</v>
      </c>
      <c r="J7" s="102" t="n">
        <v>45317</v>
      </c>
      <c r="K7" s="102" t="n">
        <v>46409</v>
      </c>
      <c r="L7" s="103" t="n">
        <v>45769</v>
      </c>
      <c r="M7" s="91" t="inlineStr">
        <is>
          <t>pendente</t>
        </is>
      </c>
      <c r="N7" s="99" t="n">
        <v>45790</v>
      </c>
    </row>
    <row r="8">
      <c r="A8" s="100" t="inlineStr">
        <is>
          <t>Caminhonete</t>
        </is>
      </c>
      <c r="B8" s="41" t="inlineStr">
        <is>
          <t>NISSAN FRONTIER</t>
        </is>
      </c>
      <c r="C8" s="100" t="inlineStr">
        <is>
          <t>TN 75</t>
        </is>
      </c>
      <c r="D8" s="100" t="inlineStr">
        <is>
          <t>SINAL</t>
        </is>
      </c>
      <c r="E8" s="100" t="inlineStr">
        <is>
          <t>CKS</t>
        </is>
      </c>
      <c r="F8" s="100" t="inlineStr">
        <is>
          <t>RXB4A21</t>
        </is>
      </c>
      <c r="G8" s="100" t="inlineStr">
        <is>
          <t>CARAJÁS</t>
        </is>
      </c>
      <c r="H8" s="101" t="inlineStr">
        <is>
          <t xml:space="preserve">Rafael </t>
        </is>
      </c>
      <c r="I8" s="88" t="n">
        <v>45786</v>
      </c>
      <c r="J8" s="102" t="n">
        <v>79662</v>
      </c>
      <c r="K8" s="102" t="n">
        <v>80173</v>
      </c>
      <c r="L8" s="104" t="n">
        <v>45775</v>
      </c>
      <c r="M8" s="91" t="inlineStr">
        <is>
          <t>pendente</t>
        </is>
      </c>
      <c r="N8" s="99" t="n">
        <v>45790</v>
      </c>
    </row>
    <row r="9">
      <c r="A9" s="100" t="inlineStr">
        <is>
          <t>Caminhonete</t>
        </is>
      </c>
      <c r="B9" s="41" t="inlineStr">
        <is>
          <t>NISSAN FRONTIER</t>
        </is>
      </c>
      <c r="C9" s="100" t="inlineStr">
        <is>
          <t>TN 76</t>
        </is>
      </c>
      <c r="D9" s="100" t="inlineStr">
        <is>
          <t>SINAL</t>
        </is>
      </c>
      <c r="E9" s="100" t="inlineStr">
        <is>
          <t>CKS</t>
        </is>
      </c>
      <c r="F9" s="100" t="inlineStr">
        <is>
          <t>RXD0C41</t>
        </is>
      </c>
      <c r="G9" s="100" t="inlineStr">
        <is>
          <t>CARAJÁS</t>
        </is>
      </c>
      <c r="H9" s="101" t="inlineStr">
        <is>
          <t>WERIKLIS</t>
        </is>
      </c>
      <c r="I9" s="88" t="n">
        <v>45786</v>
      </c>
      <c r="J9" s="102" t="n">
        <v>59928</v>
      </c>
      <c r="K9" s="100" t="n"/>
      <c r="L9" s="104" t="n">
        <v>45781</v>
      </c>
      <c r="M9" s="98" t="inlineStr">
        <is>
          <t>04/05 - 07/05 - ok</t>
        </is>
      </c>
      <c r="N9" s="99" t="n">
        <v>45792</v>
      </c>
    </row>
    <row r="10">
      <c r="A10" s="100" t="inlineStr">
        <is>
          <t>Caminhonete</t>
        </is>
      </c>
      <c r="B10" s="41" t="inlineStr">
        <is>
          <t>HILLUX</t>
        </is>
      </c>
      <c r="C10" s="100" t="inlineStr">
        <is>
          <t>TN 04</t>
        </is>
      </c>
      <c r="D10" s="100" t="inlineStr">
        <is>
          <t>SINAL</t>
        </is>
      </c>
      <c r="E10" s="100" t="inlineStr">
        <is>
          <t>CKS</t>
        </is>
      </c>
      <c r="F10" s="100" t="inlineStr">
        <is>
          <t>TDM2E37</t>
        </is>
      </c>
      <c r="G10" s="100" t="inlineStr">
        <is>
          <t>CARAJÁS</t>
        </is>
      </c>
      <c r="H10" s="101" t="inlineStr">
        <is>
          <t>MATHEUS</t>
        </is>
      </c>
      <c r="I10" s="88" t="n">
        <v>45786</v>
      </c>
      <c r="J10" s="102" t="n">
        <v>4074</v>
      </c>
      <c r="K10" s="102" t="n">
        <v>4870</v>
      </c>
      <c r="L10" s="111" t="n">
        <v>45778</v>
      </c>
      <c r="M10" s="98" t="inlineStr">
        <is>
          <t>01/05 - 01/05 ok</t>
        </is>
      </c>
      <c r="N10" s="99" t="n">
        <v>45790</v>
      </c>
    </row>
    <row r="11">
      <c r="A11" s="100" t="inlineStr">
        <is>
          <t>Leve</t>
        </is>
      </c>
      <c r="B11" s="41" t="inlineStr">
        <is>
          <t>Tracker</t>
        </is>
      </c>
      <c r="C11" s="100" t="inlineStr">
        <is>
          <t>TN 01</t>
        </is>
      </c>
      <c r="D11" s="100" t="inlineStr">
        <is>
          <t>Localiza</t>
        </is>
      </c>
      <c r="E11" s="100" t="inlineStr">
        <is>
          <t>CKS</t>
        </is>
      </c>
      <c r="F11" s="100" t="inlineStr">
        <is>
          <t>TCO2C15</t>
        </is>
      </c>
      <c r="G11" s="100" t="inlineStr">
        <is>
          <t>CARAJÁS</t>
        </is>
      </c>
      <c r="H11" s="101" t="inlineStr">
        <is>
          <t>Fabricio Maia</t>
        </is>
      </c>
      <c r="I11" s="88" t="n">
        <v>45786</v>
      </c>
      <c r="J11" s="100" t="n"/>
      <c r="K11" s="100" t="n"/>
      <c r="L11" s="104" t="n">
        <v>45764</v>
      </c>
      <c r="M11" s="91" t="inlineStr">
        <is>
          <t>pendente</t>
        </is>
      </c>
      <c r="N11" s="99" t="n">
        <v>45790</v>
      </c>
    </row>
    <row r="12">
      <c r="A12" s="86" t="inlineStr">
        <is>
          <t>Caminhonete</t>
        </is>
      </c>
      <c r="B12" s="40" t="inlineStr">
        <is>
          <t xml:space="preserve">L200 - Triton </t>
        </is>
      </c>
      <c r="C12" s="86" t="inlineStr">
        <is>
          <t>TN 73</t>
        </is>
      </c>
      <c r="D12" s="86" t="inlineStr">
        <is>
          <t>SINAL</t>
        </is>
      </c>
      <c r="E12" s="86" t="inlineStr">
        <is>
          <t>CKS</t>
        </is>
      </c>
      <c r="F12" s="86" t="inlineStr">
        <is>
          <t>RXC2D41</t>
        </is>
      </c>
      <c r="G12" s="86" t="inlineStr">
        <is>
          <t>CARAJÁS</t>
        </is>
      </c>
      <c r="H12" s="87" t="inlineStr">
        <is>
          <t>William</t>
        </is>
      </c>
      <c r="I12" s="88" t="n">
        <v>45786</v>
      </c>
      <c r="J12" s="89" t="n">
        <v>41793</v>
      </c>
      <c r="K12" s="89" t="n">
        <v>42106</v>
      </c>
      <c r="L12" s="104" t="n">
        <v>45784</v>
      </c>
      <c r="M12" s="98" t="inlineStr">
        <is>
          <t>07/05 - 05/05 - ok</t>
        </is>
      </c>
      <c r="N12" s="99" t="n">
        <v>45792</v>
      </c>
    </row>
    <row r="13">
      <c r="A13" s="311" t="inlineStr">
        <is>
          <t>Veículos - Novos Cadastros</t>
        </is>
      </c>
      <c r="B13" s="323" t="n"/>
      <c r="C13" s="323" t="n"/>
      <c r="D13" s="323" t="n"/>
      <c r="E13" s="323" t="n"/>
      <c r="F13" s="323" t="n"/>
      <c r="G13" s="323" t="n"/>
      <c r="H13" s="323" t="n"/>
      <c r="I13" s="323" t="n"/>
      <c r="J13" s="323" t="n"/>
      <c r="K13" s="323" t="n"/>
      <c r="L13" s="323" t="n"/>
      <c r="M13" s="323" t="n"/>
      <c r="N13" s="323" t="n"/>
    </row>
    <row r="14">
      <c r="A14" s="82" t="inlineStr">
        <is>
          <t>Tipo</t>
        </is>
      </c>
      <c r="B14" s="82" t="inlineStr">
        <is>
          <t xml:space="preserve">Modelos </t>
        </is>
      </c>
      <c r="C14" s="82" t="inlineStr">
        <is>
          <t>Tag</t>
        </is>
      </c>
      <c r="D14" s="82" t="inlineStr">
        <is>
          <t>Locadora</t>
        </is>
      </c>
      <c r="E14" s="82" t="inlineStr">
        <is>
          <t>Localidade</t>
        </is>
      </c>
      <c r="F14" s="82" t="inlineStr">
        <is>
          <t>Placa</t>
        </is>
      </c>
      <c r="G14" s="82" t="inlineStr">
        <is>
          <t>SSO</t>
        </is>
      </c>
      <c r="H14" s="82" t="inlineStr">
        <is>
          <t>Condutores</t>
        </is>
      </c>
      <c r="I14" s="82" t="inlineStr">
        <is>
          <t>SEMANA 01</t>
        </is>
      </c>
      <c r="J14" s="82" t="n"/>
      <c r="K14" s="82" t="inlineStr">
        <is>
          <t xml:space="preserve">KM  </t>
        </is>
      </c>
      <c r="L14" s="82" t="n"/>
      <c r="M14" s="82" t="n"/>
      <c r="N14" s="85" t="inlineStr">
        <is>
          <t>Prox. Lavagem</t>
        </is>
      </c>
    </row>
    <row r="15">
      <c r="A15" s="81" t="n"/>
      <c r="B15" s="81" t="n"/>
      <c r="C15" s="81" t="n"/>
      <c r="D15" s="81" t="n"/>
      <c r="E15" s="81" t="n"/>
      <c r="F15" s="81" t="n"/>
      <c r="G15" s="81" t="n"/>
      <c r="H15" s="81" t="n"/>
      <c r="I15" s="81" t="n"/>
      <c r="J15" s="81" t="n"/>
      <c r="K15" s="81" t="n"/>
      <c r="L15" s="112" t="n"/>
      <c r="M15" s="81" t="n"/>
      <c r="N15" s="81" t="n"/>
    </row>
    <row r="16">
      <c r="A16" s="81" t="n"/>
      <c r="B16" s="81" t="n"/>
      <c r="C16" s="81" t="n"/>
      <c r="D16" s="81" t="n"/>
      <c r="E16" s="81" t="n"/>
      <c r="F16" s="81" t="n"/>
      <c r="G16" s="81" t="n"/>
      <c r="H16" s="81" t="n"/>
      <c r="I16" s="81" t="n"/>
      <c r="J16" s="81" t="n"/>
      <c r="K16" s="81" t="n"/>
      <c r="L16" s="81" t="n"/>
      <c r="M16" s="81" t="n"/>
      <c r="N16" s="81" t="n"/>
    </row>
    <row r="17">
      <c r="A17" s="81" t="n"/>
      <c r="B17" s="81" t="n"/>
      <c r="C17" s="81" t="n"/>
      <c r="D17" s="81" t="n"/>
      <c r="E17" s="81" t="n"/>
      <c r="F17" s="81" t="n"/>
      <c r="G17" s="307" t="inlineStr">
        <is>
          <t>TN 73 Pendente plano de transito</t>
        </is>
      </c>
      <c r="H17" s="323" t="n"/>
      <c r="I17" s="323" t="n"/>
      <c r="J17" s="323" t="n"/>
      <c r="K17" s="323" t="n"/>
      <c r="L17" s="81" t="n"/>
      <c r="M17" s="81" t="n"/>
      <c r="N17" s="81" t="n"/>
    </row>
  </sheetData>
  <mergeCells count="2">
    <mergeCell ref="G17:K17"/>
    <mergeCell ref="A13:N13"/>
  </mergeCells>
  <pageMargins left="0.511811024" right="0.511811024" top="0.787401575" bottom="0.787401575" header="0.31496062" footer="0.31496062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F18" sqref="F18:J18"/>
    </sheetView>
  </sheetViews>
  <sheetFormatPr baseColWidth="8" defaultRowHeight="14.3"/>
  <cols>
    <col width="20.5" bestFit="1" customWidth="1" min="1" max="1"/>
    <col width="17" bestFit="1" customWidth="1" min="2" max="2"/>
    <col width="14.375" bestFit="1" customWidth="1" min="3" max="3"/>
    <col width="20" bestFit="1" customWidth="1" min="8" max="8"/>
    <col width="11.625" bestFit="1" customWidth="1" min="9" max="9"/>
    <col width="14" bestFit="1" customWidth="1" min="10" max="10"/>
    <col width="11.125" bestFit="1" customWidth="1" min="11" max="11"/>
    <col width="15.375" bestFit="1" customWidth="1" min="12" max="12"/>
    <col width="23.375" bestFit="1" customWidth="1" min="13" max="13"/>
    <col width="14.375" bestFit="1" customWidth="1" min="14" max="14"/>
  </cols>
  <sheetData>
    <row r="1">
      <c r="A1" s="77" t="inlineStr">
        <is>
          <t xml:space="preserve">Veículos Cadastrados 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9" t="n"/>
      <c r="M1" s="80" t="n"/>
      <c r="N1" s="81" t="n"/>
    </row>
    <row r="2">
      <c r="A2" s="82" t="inlineStr">
        <is>
          <t>Tipo</t>
        </is>
      </c>
      <c r="B2" s="82" t="inlineStr">
        <is>
          <t xml:space="preserve">Modelos </t>
        </is>
      </c>
      <c r="C2" s="82" t="inlineStr">
        <is>
          <t>Tag</t>
        </is>
      </c>
      <c r="D2" s="82" t="inlineStr">
        <is>
          <t>Locadora</t>
        </is>
      </c>
      <c r="E2" s="82" t="inlineStr">
        <is>
          <t>Localidade</t>
        </is>
      </c>
      <c r="F2" s="82" t="inlineStr">
        <is>
          <t>Placa</t>
        </is>
      </c>
      <c r="G2" s="82" t="inlineStr">
        <is>
          <t>SSO</t>
        </is>
      </c>
      <c r="H2" s="82" t="inlineStr">
        <is>
          <t>Condutores</t>
        </is>
      </c>
      <c r="I2" s="82" t="inlineStr">
        <is>
          <t>SEMANA 03</t>
        </is>
      </c>
      <c r="J2" s="82" t="inlineStr">
        <is>
          <t>KM ANTERIOR</t>
        </is>
      </c>
      <c r="K2" s="82" t="inlineStr">
        <is>
          <t>KM  ATUAL</t>
        </is>
      </c>
      <c r="L2" s="83" t="inlineStr">
        <is>
          <t>Ultima lavagem</t>
        </is>
      </c>
      <c r="M2" s="84" t="inlineStr">
        <is>
          <t>lavagem programada S-1</t>
        </is>
      </c>
      <c r="N2" s="85" t="inlineStr">
        <is>
          <t>Prox. Lavagem</t>
        </is>
      </c>
    </row>
    <row r="3">
      <c r="A3" s="86" t="inlineStr">
        <is>
          <t>Caminhonete</t>
        </is>
      </c>
      <c r="B3" s="40" t="inlineStr">
        <is>
          <t>CHEVROLET S10</t>
        </is>
      </c>
      <c r="C3" s="86" t="inlineStr">
        <is>
          <t>TN 29</t>
        </is>
      </c>
      <c r="D3" s="86" t="inlineStr">
        <is>
          <t>Sonda</t>
        </is>
      </c>
      <c r="E3" s="86" t="inlineStr">
        <is>
          <t>CKS</t>
        </is>
      </c>
      <c r="F3" s="86" t="inlineStr">
        <is>
          <t>FXR0F35</t>
        </is>
      </c>
      <c r="G3" s="86" t="inlineStr">
        <is>
          <t>CARAJÁS</t>
        </is>
      </c>
      <c r="H3" s="87" t="inlineStr">
        <is>
          <t>JOÃO TAVARES</t>
        </is>
      </c>
      <c r="I3" s="88" t="n">
        <v>45800</v>
      </c>
      <c r="J3" s="89" t="n">
        <v>156339</v>
      </c>
      <c r="K3" s="89" t="n">
        <v>157090</v>
      </c>
      <c r="L3" s="90" t="n">
        <v>45784</v>
      </c>
      <c r="M3" s="114" t="inlineStr">
        <is>
          <t>pendente</t>
        </is>
      </c>
      <c r="N3" s="99" t="n">
        <v>45805</v>
      </c>
    </row>
    <row r="4">
      <c r="A4" s="86" t="inlineStr">
        <is>
          <t>Caminhonete</t>
        </is>
      </c>
      <c r="B4" s="40" t="inlineStr">
        <is>
          <t>Hillux</t>
        </is>
      </c>
      <c r="C4" s="86" t="inlineStr">
        <is>
          <t>TN 31</t>
        </is>
      </c>
      <c r="D4" s="86" t="inlineStr">
        <is>
          <t>SINAL</t>
        </is>
      </c>
      <c r="E4" s="86" t="inlineStr">
        <is>
          <t>CKS</t>
        </is>
      </c>
      <c r="F4" s="86" t="inlineStr">
        <is>
          <t>TCD7168</t>
        </is>
      </c>
      <c r="G4" s="86" t="inlineStr">
        <is>
          <t>CARAJÁS</t>
        </is>
      </c>
      <c r="H4" s="87" t="inlineStr">
        <is>
          <t>Lucas</t>
        </is>
      </c>
      <c r="I4" s="88" t="n">
        <v>45800</v>
      </c>
      <c r="J4" s="89" t="n">
        <v>15660</v>
      </c>
      <c r="K4" s="89" t="n">
        <v>16318</v>
      </c>
      <c r="L4" s="105" t="n"/>
      <c r="M4" s="114" t="inlineStr">
        <is>
          <t>pendente</t>
        </is>
      </c>
      <c r="N4" s="99" t="n">
        <v>45805</v>
      </c>
    </row>
    <row r="5">
      <c r="A5" s="86" t="inlineStr">
        <is>
          <t>Caminhonete</t>
        </is>
      </c>
      <c r="B5" s="40" t="inlineStr">
        <is>
          <t xml:space="preserve">FORD RANGER </t>
        </is>
      </c>
      <c r="C5" s="86" t="inlineStr">
        <is>
          <t>TN 72</t>
        </is>
      </c>
      <c r="D5" s="86" t="inlineStr">
        <is>
          <t>Sonda</t>
        </is>
      </c>
      <c r="E5" s="86" t="inlineStr">
        <is>
          <t>CKS</t>
        </is>
      </c>
      <c r="F5" s="86" t="inlineStr">
        <is>
          <t>FXD9A18</t>
        </is>
      </c>
      <c r="G5" s="86" t="inlineStr">
        <is>
          <t>CARAJÁS</t>
        </is>
      </c>
      <c r="H5" s="87" t="inlineStr">
        <is>
          <t>RAIMUNDO CHARLES</t>
        </is>
      </c>
      <c r="I5" s="88" t="n">
        <v>45800</v>
      </c>
      <c r="J5" s="89" t="n">
        <v>91919</v>
      </c>
      <c r="K5" s="89" t="n">
        <v>92452</v>
      </c>
      <c r="L5" s="90" t="n">
        <v>45778</v>
      </c>
      <c r="M5" s="114" t="inlineStr">
        <is>
          <t>pendente</t>
        </is>
      </c>
      <c r="N5" s="128" t="n">
        <v>45804</v>
      </c>
    </row>
    <row r="6">
      <c r="A6" s="86" t="inlineStr">
        <is>
          <t>Caminhonete</t>
        </is>
      </c>
      <c r="B6" s="40" t="inlineStr">
        <is>
          <t>Hillux</t>
        </is>
      </c>
      <c r="C6" s="86" t="inlineStr">
        <is>
          <t>TN 03</t>
        </is>
      </c>
      <c r="D6" s="86" t="inlineStr">
        <is>
          <t>SINAL</t>
        </is>
      </c>
      <c r="E6" s="86" t="inlineStr">
        <is>
          <t>CKS</t>
        </is>
      </c>
      <c r="F6" s="86" t="inlineStr">
        <is>
          <t>TCD7H75</t>
        </is>
      </c>
      <c r="G6" s="86" t="inlineStr">
        <is>
          <t>CARAJÁS</t>
        </is>
      </c>
      <c r="H6" s="87" t="inlineStr">
        <is>
          <t>Lucas</t>
        </is>
      </c>
      <c r="I6" s="88" t="n">
        <v>45800</v>
      </c>
      <c r="J6" s="89" t="n">
        <v>14422</v>
      </c>
      <c r="K6" s="89" t="n">
        <v>15249</v>
      </c>
      <c r="L6" s="90" t="n">
        <v>45792</v>
      </c>
      <c r="M6" s="114" t="inlineStr">
        <is>
          <t>pendente</t>
        </is>
      </c>
      <c r="N6" s="99" t="n">
        <v>45805</v>
      </c>
    </row>
    <row r="7">
      <c r="A7" s="113" t="inlineStr">
        <is>
          <t>Caminhonete</t>
        </is>
      </c>
      <c r="B7" s="129" t="inlineStr">
        <is>
          <t>NISSAN FRONTIER</t>
        </is>
      </c>
      <c r="C7" s="130" t="inlineStr">
        <is>
          <t>TN 75</t>
        </is>
      </c>
      <c r="D7" s="130" t="inlineStr">
        <is>
          <t>SINAL</t>
        </is>
      </c>
      <c r="E7" s="130" t="inlineStr">
        <is>
          <t>CKS</t>
        </is>
      </c>
      <c r="F7" s="130" t="inlineStr">
        <is>
          <t>RXB4A21</t>
        </is>
      </c>
      <c r="G7" s="130" t="inlineStr">
        <is>
          <t>CARAJÁS</t>
        </is>
      </c>
      <c r="H7" s="131" t="n"/>
      <c r="I7" s="109" t="n"/>
      <c r="J7" s="132" t="n"/>
      <c r="K7" s="132" t="n"/>
      <c r="L7" s="133" t="n"/>
      <c r="M7" s="133" t="n"/>
      <c r="N7" s="134" t="n"/>
    </row>
    <row r="8">
      <c r="A8" s="100" t="inlineStr">
        <is>
          <t>Caminhonete</t>
        </is>
      </c>
      <c r="B8" s="41" t="inlineStr">
        <is>
          <t>NISSAN FRONTIER</t>
        </is>
      </c>
      <c r="C8" s="100" t="inlineStr">
        <is>
          <t>TN 76</t>
        </is>
      </c>
      <c r="D8" s="100" t="inlineStr">
        <is>
          <t>SINAL</t>
        </is>
      </c>
      <c r="E8" s="100" t="inlineStr">
        <is>
          <t>CKS</t>
        </is>
      </c>
      <c r="F8" s="100" t="inlineStr">
        <is>
          <t>TCD7I65</t>
        </is>
      </c>
      <c r="G8" s="100" t="inlineStr">
        <is>
          <t>CARAJÁS</t>
        </is>
      </c>
      <c r="H8" s="101" t="inlineStr">
        <is>
          <t>Renan</t>
        </is>
      </c>
      <c r="I8" s="88" t="n">
        <v>45800</v>
      </c>
      <c r="J8" s="102" t="n"/>
      <c r="K8" s="102" t="n">
        <v>10306</v>
      </c>
      <c r="L8" s="104" t="n">
        <v>45797</v>
      </c>
      <c r="M8" s="90" t="n"/>
      <c r="N8" s="99" t="n">
        <v>45803</v>
      </c>
    </row>
    <row r="9">
      <c r="A9" s="100" t="inlineStr">
        <is>
          <t>Caminhonete</t>
        </is>
      </c>
      <c r="B9" s="41" t="inlineStr">
        <is>
          <t>HILLUX</t>
        </is>
      </c>
      <c r="C9" s="100" t="inlineStr">
        <is>
          <t>TN 04</t>
        </is>
      </c>
      <c r="D9" s="100" t="inlineStr">
        <is>
          <t>SINAL</t>
        </is>
      </c>
      <c r="E9" s="100" t="inlineStr">
        <is>
          <t>CKS</t>
        </is>
      </c>
      <c r="F9" s="100" t="inlineStr">
        <is>
          <t>TDM2E37</t>
        </is>
      </c>
      <c r="G9" s="100" t="inlineStr">
        <is>
          <t>CARAJÁS</t>
        </is>
      </c>
      <c r="H9" s="101" t="inlineStr">
        <is>
          <t>MATHEUS</t>
        </is>
      </c>
      <c r="I9" s="88" t="n">
        <v>45800</v>
      </c>
      <c r="J9" s="102" t="n">
        <v>5379</v>
      </c>
      <c r="K9" s="102" t="n">
        <v>5942</v>
      </c>
      <c r="L9" s="104" t="n">
        <v>45800</v>
      </c>
      <c r="M9" s="90" t="n"/>
      <c r="N9" s="99" t="n">
        <v>45798</v>
      </c>
    </row>
    <row r="10">
      <c r="A10" s="100" t="inlineStr">
        <is>
          <t>Leve</t>
        </is>
      </c>
      <c r="B10" s="41" t="inlineStr">
        <is>
          <t>Tracker</t>
        </is>
      </c>
      <c r="C10" s="100" t="inlineStr">
        <is>
          <t>TN 01</t>
        </is>
      </c>
      <c r="D10" s="100" t="inlineStr">
        <is>
          <t>Localiza</t>
        </is>
      </c>
      <c r="E10" s="100" t="inlineStr">
        <is>
          <t>CKS</t>
        </is>
      </c>
      <c r="F10" s="100" t="inlineStr">
        <is>
          <t>TCO2C15</t>
        </is>
      </c>
      <c r="G10" s="100" t="inlineStr">
        <is>
          <t>CARAJÁS</t>
        </is>
      </c>
      <c r="H10" s="101" t="inlineStr">
        <is>
          <t>Fabricio Maia</t>
        </is>
      </c>
      <c r="I10" s="88" t="n">
        <v>45800</v>
      </c>
      <c r="J10" s="100" t="n"/>
      <c r="K10" s="102" t="n">
        <v>15349</v>
      </c>
      <c r="L10" s="104" t="n"/>
      <c r="M10" s="114" t="inlineStr">
        <is>
          <t>pendente</t>
        </is>
      </c>
      <c r="N10" s="99" t="n"/>
    </row>
    <row r="11">
      <c r="A11" s="100" t="inlineStr">
        <is>
          <t>Caminhonete</t>
        </is>
      </c>
      <c r="B11" s="41" t="inlineStr">
        <is>
          <t>Ranger</t>
        </is>
      </c>
      <c r="C11" s="100" t="inlineStr">
        <is>
          <t>TN 74</t>
        </is>
      </c>
      <c r="D11" s="100" t="inlineStr">
        <is>
          <t>SONDA</t>
        </is>
      </c>
      <c r="E11" s="100" t="inlineStr">
        <is>
          <t>CKS</t>
        </is>
      </c>
      <c r="F11" s="100" t="inlineStr">
        <is>
          <t>RDM2E33</t>
        </is>
      </c>
      <c r="G11" s="100" t="inlineStr">
        <is>
          <t>CARAJÁS</t>
        </is>
      </c>
      <c r="H11" s="101" t="inlineStr">
        <is>
          <t>Ederson</t>
        </is>
      </c>
      <c r="I11" s="88" t="n">
        <v>45800</v>
      </c>
      <c r="J11" s="100" t="n"/>
      <c r="K11" s="100" t="n"/>
      <c r="L11" s="104" t="n"/>
      <c r="M11" s="90" t="n"/>
      <c r="N11" s="99" t="n">
        <v>45807</v>
      </c>
    </row>
    <row r="12">
      <c r="A12" s="121" t="inlineStr">
        <is>
          <t>Caminhonete</t>
        </is>
      </c>
      <c r="B12" s="122" t="inlineStr">
        <is>
          <t>Hillux</t>
        </is>
      </c>
      <c r="C12" s="121" t="inlineStr">
        <is>
          <t>TN 73</t>
        </is>
      </c>
      <c r="D12" s="121" t="inlineStr">
        <is>
          <t>SINAL</t>
        </is>
      </c>
      <c r="E12" s="121" t="inlineStr">
        <is>
          <t>CKS</t>
        </is>
      </c>
      <c r="F12" s="121" t="inlineStr">
        <is>
          <t>TCD7H73</t>
        </is>
      </c>
      <c r="G12" s="121" t="inlineStr">
        <is>
          <t>CARAJÁS</t>
        </is>
      </c>
      <c r="H12" s="123" t="inlineStr">
        <is>
          <t>William</t>
        </is>
      </c>
      <c r="I12" s="124" t="n">
        <v>45800</v>
      </c>
      <c r="J12" s="125" t="n"/>
      <c r="K12" s="125" t="n">
        <v>3705</v>
      </c>
      <c r="L12" s="126" t="n">
        <v>45797</v>
      </c>
      <c r="M12" s="127" t="n"/>
      <c r="N12" s="128" t="n">
        <v>45804</v>
      </c>
    </row>
    <row r="13">
      <c r="A13" s="115" t="inlineStr">
        <is>
          <t>Caminhonete</t>
        </is>
      </c>
      <c r="B13" s="116" t="inlineStr">
        <is>
          <t>NISSAN FRONTIER</t>
        </is>
      </c>
      <c r="C13" s="115" t="inlineStr">
        <is>
          <t>TN78</t>
        </is>
      </c>
      <c r="D13" s="115" t="inlineStr">
        <is>
          <t>SONDA</t>
        </is>
      </c>
      <c r="E13" s="115" t="inlineStr">
        <is>
          <t>CKS</t>
        </is>
      </c>
      <c r="F13" s="115" t="inlineStr">
        <is>
          <t xml:space="preserve">FZY4F28 </t>
        </is>
      </c>
      <c r="G13" s="115" t="inlineStr">
        <is>
          <t>CARAJÁS</t>
        </is>
      </c>
      <c r="H13" s="115" t="inlineStr">
        <is>
          <t>Ederson</t>
        </is>
      </c>
      <c r="I13" s="117" t="n">
        <v>45800</v>
      </c>
      <c r="J13" s="118" t="n"/>
      <c r="K13" s="118" t="inlineStr">
        <is>
          <t xml:space="preserve"> 90 862</t>
        </is>
      </c>
      <c r="L13" s="119" t="n">
        <v>45800</v>
      </c>
      <c r="M13" s="119" t="n"/>
      <c r="N13" s="120" t="n">
        <v>45807</v>
      </c>
    </row>
    <row r="14">
      <c r="A14" s="313" t="inlineStr">
        <is>
          <t>Veículos - Novos Cadastros</t>
        </is>
      </c>
      <c r="B14" s="321" t="n"/>
      <c r="C14" s="321" t="n"/>
      <c r="D14" s="321" t="n"/>
      <c r="E14" s="321" t="n"/>
      <c r="F14" s="321" t="n"/>
      <c r="G14" s="321" t="n"/>
      <c r="H14" s="321" t="n"/>
      <c r="I14" s="321" t="n"/>
      <c r="J14" s="321" t="n"/>
      <c r="K14" s="321" t="n"/>
      <c r="L14" s="321" t="n"/>
      <c r="M14" s="321" t="n"/>
      <c r="N14" s="321" t="n"/>
    </row>
    <row r="15">
      <c r="A15" s="82" t="inlineStr">
        <is>
          <t>Tipo</t>
        </is>
      </c>
      <c r="B15" s="82" t="inlineStr">
        <is>
          <t xml:space="preserve">Modelos </t>
        </is>
      </c>
      <c r="C15" s="82" t="inlineStr">
        <is>
          <t>Tag</t>
        </is>
      </c>
      <c r="D15" s="82" t="inlineStr">
        <is>
          <t>Locadora</t>
        </is>
      </c>
      <c r="E15" s="82" t="inlineStr">
        <is>
          <t>Localidade</t>
        </is>
      </c>
      <c r="F15" s="82" t="inlineStr">
        <is>
          <t>Placa</t>
        </is>
      </c>
      <c r="G15" s="82" t="inlineStr">
        <is>
          <t>SSO</t>
        </is>
      </c>
      <c r="H15" s="82" t="inlineStr">
        <is>
          <t>Condutores</t>
        </is>
      </c>
      <c r="I15" s="82" t="inlineStr">
        <is>
          <t>SEMANA 01</t>
        </is>
      </c>
      <c r="J15" s="82" t="n"/>
      <c r="K15" s="82" t="inlineStr">
        <is>
          <t xml:space="preserve">KM  </t>
        </is>
      </c>
      <c r="L15" s="82" t="n"/>
      <c r="M15" s="82" t="n"/>
      <c r="N15" s="85" t="inlineStr">
        <is>
          <t>Prox. Lavagem</t>
        </is>
      </c>
    </row>
    <row r="16"/>
    <row r="17"/>
    <row r="18">
      <c r="F18" s="315" t="inlineStr">
        <is>
          <t>TN74, TN73, TN78 E TN76 são os veiculos novos, todos limpos.</t>
        </is>
      </c>
      <c r="G18" s="323" t="n"/>
      <c r="H18" s="323" t="n"/>
      <c r="I18" s="323" t="n"/>
      <c r="J18" s="324" t="n"/>
    </row>
    <row r="19">
      <c r="F19" s="315" t="inlineStr">
        <is>
          <t>TN 04 em manutenção</t>
        </is>
      </c>
      <c r="G19" s="323" t="n"/>
      <c r="H19" s="323" t="n"/>
      <c r="I19" s="323" t="n"/>
      <c r="J19" s="324" t="n"/>
    </row>
    <row r="20">
      <c r="F20" s="315" t="inlineStr">
        <is>
          <t>TN 75 em desmobilização</t>
        </is>
      </c>
      <c r="G20" s="323" t="n"/>
      <c r="H20" s="323" t="n"/>
      <c r="I20" s="323" t="n"/>
      <c r="J20" s="324" t="n"/>
    </row>
    <row r="21">
      <c r="F21" s="315" t="inlineStr">
        <is>
          <t>TN 29 não foi lavado devido periodo de substituição da 79</t>
        </is>
      </c>
      <c r="G21" s="323" t="n"/>
      <c r="H21" s="323" t="n"/>
      <c r="I21" s="323" t="n"/>
      <c r="J21" s="324" t="n"/>
    </row>
    <row r="22"/>
    <row r="23"/>
    <row r="24">
      <c r="C24" s="85" t="n"/>
    </row>
  </sheetData>
  <mergeCells count="5">
    <mergeCell ref="F21:J21"/>
    <mergeCell ref="F20:J20"/>
    <mergeCell ref="F19:J19"/>
    <mergeCell ref="F18:J18"/>
    <mergeCell ref="A14:N14"/>
  </mergeCells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J3" sqref="J3"/>
    </sheetView>
  </sheetViews>
  <sheetFormatPr baseColWidth="8" defaultRowHeight="14.3"/>
  <cols>
    <col width="20.5" bestFit="1" customWidth="1" min="1" max="1"/>
    <col width="17" bestFit="1" customWidth="1" min="2" max="2"/>
    <col width="20" bestFit="1" customWidth="1" min="8" max="8"/>
    <col width="11.625" bestFit="1" customWidth="1" min="9" max="9"/>
    <col width="14" bestFit="1" customWidth="1" min="10" max="10"/>
    <col width="11.125" bestFit="1" customWidth="1" min="11" max="11"/>
    <col width="15.375" bestFit="1" customWidth="1" min="12" max="12"/>
    <col width="23.375" bestFit="1" customWidth="1" min="13" max="13"/>
    <col width="14.375" bestFit="1" customWidth="1" min="14" max="14"/>
  </cols>
  <sheetData>
    <row r="1">
      <c r="A1" s="77" t="inlineStr">
        <is>
          <t xml:space="preserve">Veículos Cadastrados 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9" t="n"/>
      <c r="M1" s="80" t="n"/>
      <c r="N1" s="81" t="n"/>
    </row>
    <row r="2">
      <c r="A2" s="82" t="inlineStr">
        <is>
          <t>Tipo</t>
        </is>
      </c>
      <c r="B2" s="82" t="inlineStr">
        <is>
          <t xml:space="preserve">Modelos </t>
        </is>
      </c>
      <c r="C2" s="82" t="inlineStr">
        <is>
          <t>Tag</t>
        </is>
      </c>
      <c r="D2" s="82" t="inlineStr">
        <is>
          <t>Locadora</t>
        </is>
      </c>
      <c r="E2" s="82" t="inlineStr">
        <is>
          <t>Localidade</t>
        </is>
      </c>
      <c r="F2" s="82" t="inlineStr">
        <is>
          <t>Placa</t>
        </is>
      </c>
      <c r="G2" s="82" t="inlineStr">
        <is>
          <t>SSO</t>
        </is>
      </c>
      <c r="H2" s="82" t="inlineStr">
        <is>
          <t>Condutores</t>
        </is>
      </c>
      <c r="I2" s="82" t="inlineStr">
        <is>
          <t>SEMANA 04</t>
        </is>
      </c>
      <c r="J2" s="82" t="inlineStr">
        <is>
          <t>KM ANTERIOR</t>
        </is>
      </c>
      <c r="K2" s="82" t="inlineStr">
        <is>
          <t>KM  ATUAL</t>
        </is>
      </c>
      <c r="L2" s="83" t="inlineStr">
        <is>
          <t>Ultima lavagem</t>
        </is>
      </c>
      <c r="M2" s="84" t="inlineStr">
        <is>
          <t>lavagem programada S-1</t>
        </is>
      </c>
      <c r="N2" s="85" t="inlineStr">
        <is>
          <t>Prox. Lavagem</t>
        </is>
      </c>
    </row>
    <row r="3">
      <c r="A3" s="86" t="inlineStr">
        <is>
          <t>Caminhonete</t>
        </is>
      </c>
      <c r="B3" s="40" t="inlineStr">
        <is>
          <t>CHEVROLET S10</t>
        </is>
      </c>
      <c r="C3" s="86" t="inlineStr">
        <is>
          <t>TN 29</t>
        </is>
      </c>
      <c r="D3" s="86" t="inlineStr">
        <is>
          <t>Sonda</t>
        </is>
      </c>
      <c r="E3" s="86" t="inlineStr">
        <is>
          <t>CKS</t>
        </is>
      </c>
      <c r="F3" s="86" t="inlineStr">
        <is>
          <t>FXR0F35</t>
        </is>
      </c>
      <c r="G3" s="86" t="inlineStr">
        <is>
          <t>CARAJÁS</t>
        </is>
      </c>
      <c r="H3" s="87" t="inlineStr">
        <is>
          <t>JOÃO TAVARES</t>
        </is>
      </c>
      <c r="I3" s="88" t="n">
        <v>45807</v>
      </c>
      <c r="J3" s="89" t="n">
        <v>157090</v>
      </c>
      <c r="K3" s="89" t="n">
        <v>157902</v>
      </c>
      <c r="L3" s="90" t="n">
        <v>45807</v>
      </c>
      <c r="M3" s="136" t="inlineStr">
        <is>
          <t>30/05 - 28/05 ok</t>
        </is>
      </c>
      <c r="N3" s="59" t="n">
        <v>45814</v>
      </c>
    </row>
    <row r="4">
      <c r="A4" s="86" t="inlineStr">
        <is>
          <t>Caminhonete</t>
        </is>
      </c>
      <c r="B4" s="40" t="inlineStr">
        <is>
          <t>Hillux</t>
        </is>
      </c>
      <c r="C4" s="86" t="inlineStr">
        <is>
          <t>TN 31</t>
        </is>
      </c>
      <c r="D4" s="86" t="inlineStr">
        <is>
          <t>SINAL</t>
        </is>
      </c>
      <c r="E4" s="86" t="inlineStr">
        <is>
          <t>CKS</t>
        </is>
      </c>
      <c r="F4" s="86" t="inlineStr">
        <is>
          <t>TCD7I68</t>
        </is>
      </c>
      <c r="G4" s="86" t="inlineStr">
        <is>
          <t>CARAJÁS</t>
        </is>
      </c>
      <c r="H4" s="87" t="inlineStr">
        <is>
          <t>Lucas</t>
        </is>
      </c>
      <c r="I4" s="88" t="n">
        <v>45807</v>
      </c>
      <c r="J4" s="89" t="n">
        <v>16318</v>
      </c>
      <c r="K4" s="89" t="n">
        <v>16948</v>
      </c>
      <c r="L4" s="90" t="n">
        <v>45803</v>
      </c>
      <c r="M4" s="137" t="inlineStr">
        <is>
          <t>26/05 - 28/05 ok</t>
        </is>
      </c>
      <c r="N4" s="59" t="n">
        <v>45809</v>
      </c>
    </row>
    <row r="5">
      <c r="A5" s="86" t="inlineStr">
        <is>
          <t>Caminhonete</t>
        </is>
      </c>
      <c r="B5" s="40" t="inlineStr">
        <is>
          <t xml:space="preserve">FORD RANGER </t>
        </is>
      </c>
      <c r="C5" s="86" t="inlineStr">
        <is>
          <t>TN 72</t>
        </is>
      </c>
      <c r="D5" s="86" t="inlineStr">
        <is>
          <t>Sonda</t>
        </is>
      </c>
      <c r="E5" s="86" t="inlineStr">
        <is>
          <t>CKS</t>
        </is>
      </c>
      <c r="F5" s="86" t="inlineStr">
        <is>
          <t>FXD9A18</t>
        </is>
      </c>
      <c r="G5" s="86" t="inlineStr">
        <is>
          <t>CARAJÁS</t>
        </is>
      </c>
      <c r="H5" s="87" t="inlineStr">
        <is>
          <t>RAIMUNDO CHARLES</t>
        </is>
      </c>
      <c r="I5" s="88" t="n">
        <v>45807</v>
      </c>
      <c r="J5" s="89" t="n">
        <v>92452</v>
      </c>
      <c r="K5" s="89" t="n">
        <v>93251</v>
      </c>
      <c r="L5" s="90" t="n">
        <v>45805</v>
      </c>
      <c r="M5" s="137" t="inlineStr">
        <is>
          <t>28/05 - 27/05 ok</t>
        </is>
      </c>
      <c r="N5" s="135" t="n">
        <v>45812</v>
      </c>
    </row>
    <row r="6">
      <c r="A6" s="86" t="inlineStr">
        <is>
          <t>Caminhonete</t>
        </is>
      </c>
      <c r="B6" s="40" t="inlineStr">
        <is>
          <t>Hillux</t>
        </is>
      </c>
      <c r="C6" s="86" t="inlineStr">
        <is>
          <t>TN 03</t>
        </is>
      </c>
      <c r="D6" s="86" t="inlineStr">
        <is>
          <t>SINAL</t>
        </is>
      </c>
      <c r="E6" s="86" t="inlineStr">
        <is>
          <t>CKS</t>
        </is>
      </c>
      <c r="F6" s="86" t="inlineStr">
        <is>
          <t>TCD7H75</t>
        </is>
      </c>
      <c r="G6" s="86" t="inlineStr">
        <is>
          <t>CARAJÁS</t>
        </is>
      </c>
      <c r="H6" s="87" t="inlineStr">
        <is>
          <t>Lucas</t>
        </is>
      </c>
      <c r="I6" s="88" t="n">
        <v>45807</v>
      </c>
      <c r="J6" s="89" t="n">
        <v>15249</v>
      </c>
      <c r="K6" s="89" t="n">
        <v>15687</v>
      </c>
      <c r="L6" s="90" t="n">
        <v>45804</v>
      </c>
      <c r="M6" s="137" t="inlineStr">
        <is>
          <t>27/05 - 28/05 ok</t>
        </is>
      </c>
      <c r="N6" s="135" t="n">
        <v>45812</v>
      </c>
    </row>
    <row r="7">
      <c r="A7" s="100" t="inlineStr">
        <is>
          <t>Caminhonete</t>
        </is>
      </c>
      <c r="B7" s="41" t="inlineStr">
        <is>
          <t>NISSAN FRONTIER</t>
        </is>
      </c>
      <c r="C7" s="100" t="inlineStr">
        <is>
          <t>TN 76</t>
        </is>
      </c>
      <c r="D7" s="100" t="inlineStr">
        <is>
          <t>SINAL</t>
        </is>
      </c>
      <c r="E7" s="100" t="inlineStr">
        <is>
          <t>CKS</t>
        </is>
      </c>
      <c r="F7" s="100" t="inlineStr">
        <is>
          <t>TCD7H72</t>
        </is>
      </c>
      <c r="G7" s="100" t="inlineStr">
        <is>
          <t>CARAJÁS</t>
        </is>
      </c>
      <c r="H7" s="101" t="inlineStr">
        <is>
          <t>Renan</t>
        </is>
      </c>
      <c r="I7" s="88" t="n">
        <v>45807</v>
      </c>
      <c r="J7" s="102" t="n">
        <v>10306</v>
      </c>
      <c r="K7" s="102" t="n">
        <v>10672</v>
      </c>
      <c r="L7" s="104" t="n">
        <v>45804</v>
      </c>
      <c r="M7" s="137" t="inlineStr">
        <is>
          <t>27/05 - 26/05 ok</t>
        </is>
      </c>
      <c r="N7" s="59" t="n">
        <v>45811</v>
      </c>
    </row>
    <row r="8">
      <c r="A8" s="100" t="inlineStr">
        <is>
          <t>Caminhonete</t>
        </is>
      </c>
      <c r="B8" s="41" t="inlineStr">
        <is>
          <t>HILLUX</t>
        </is>
      </c>
      <c r="C8" s="100" t="inlineStr">
        <is>
          <t>TN 04</t>
        </is>
      </c>
      <c r="D8" s="100" t="inlineStr">
        <is>
          <t>SINAL</t>
        </is>
      </c>
      <c r="E8" s="100" t="inlineStr">
        <is>
          <t>CKS</t>
        </is>
      </c>
      <c r="F8" s="100" t="inlineStr">
        <is>
          <t>TDM2E37</t>
        </is>
      </c>
      <c r="G8" s="100" t="inlineStr">
        <is>
          <t>CARAJÁS</t>
        </is>
      </c>
      <c r="H8" s="101" t="inlineStr">
        <is>
          <t>MATHEUS</t>
        </is>
      </c>
      <c r="I8" s="88" t="n">
        <v>45807</v>
      </c>
      <c r="J8" s="102" t="n">
        <v>5942</v>
      </c>
      <c r="K8" s="102" t="n">
        <v>6408</v>
      </c>
      <c r="L8" s="104" t="n">
        <v>45800</v>
      </c>
      <c r="M8" s="137" t="inlineStr">
        <is>
          <t>23/05 - 21/05 ok</t>
        </is>
      </c>
      <c r="N8" s="59" t="n">
        <v>45809</v>
      </c>
    </row>
    <row r="9">
      <c r="A9" s="100" t="inlineStr">
        <is>
          <t>Leve</t>
        </is>
      </c>
      <c r="B9" s="41" t="inlineStr">
        <is>
          <t>Tracker</t>
        </is>
      </c>
      <c r="C9" s="100" t="inlineStr">
        <is>
          <t>TN 01</t>
        </is>
      </c>
      <c r="D9" s="100" t="inlineStr">
        <is>
          <t>Localiza</t>
        </is>
      </c>
      <c r="E9" s="100" t="inlineStr">
        <is>
          <t>CKS</t>
        </is>
      </c>
      <c r="F9" s="100" t="inlineStr">
        <is>
          <t>TCO2C15</t>
        </is>
      </c>
      <c r="G9" s="100" t="inlineStr">
        <is>
          <t>CARAJÁS</t>
        </is>
      </c>
      <c r="H9" s="101" t="inlineStr">
        <is>
          <t>Fabricio Maia</t>
        </is>
      </c>
      <c r="I9" s="88" t="n">
        <v>45807</v>
      </c>
      <c r="J9" s="102" t="n">
        <v>15349</v>
      </c>
      <c r="K9" s="102" t="n"/>
      <c r="L9" s="104" t="n"/>
      <c r="M9" s="137" t="inlineStr">
        <is>
          <t> </t>
        </is>
      </c>
      <c r="N9" s="58" t="inlineStr">
        <is>
          <t> </t>
        </is>
      </c>
    </row>
    <row r="10">
      <c r="A10" s="100" t="inlineStr">
        <is>
          <t>Caminhonete</t>
        </is>
      </c>
      <c r="B10" s="41" t="inlineStr">
        <is>
          <t>Ranger</t>
        </is>
      </c>
      <c r="C10" s="100" t="inlineStr">
        <is>
          <t>TN 74</t>
        </is>
      </c>
      <c r="D10" s="100" t="inlineStr">
        <is>
          <t>SONDA</t>
        </is>
      </c>
      <c r="E10" s="100" t="inlineStr">
        <is>
          <t>CKS</t>
        </is>
      </c>
      <c r="F10" s="100" t="inlineStr">
        <is>
          <t>RDM2E33</t>
        </is>
      </c>
      <c r="G10" s="100" t="inlineStr">
        <is>
          <t>CARAJÁS</t>
        </is>
      </c>
      <c r="H10" s="101" t="inlineStr">
        <is>
          <t>Ederson</t>
        </is>
      </c>
      <c r="I10" s="88" t="n">
        <v>45807</v>
      </c>
      <c r="J10" s="100" t="n"/>
      <c r="K10" s="100" t="n">
        <v>8412</v>
      </c>
      <c r="L10" s="104" t="n"/>
      <c r="M10" s="137" t="inlineStr">
        <is>
          <t>30/05 - 30/05 ok</t>
        </is>
      </c>
      <c r="N10" s="59" t="n">
        <v>45813</v>
      </c>
    </row>
    <row r="11">
      <c r="A11" s="121" t="inlineStr">
        <is>
          <t>Caminhonete</t>
        </is>
      </c>
      <c r="B11" s="122" t="inlineStr">
        <is>
          <t>Hillux</t>
        </is>
      </c>
      <c r="C11" s="121" t="inlineStr">
        <is>
          <t>TN 73</t>
        </is>
      </c>
      <c r="D11" s="121" t="inlineStr">
        <is>
          <t>SINAL</t>
        </is>
      </c>
      <c r="E11" s="121" t="inlineStr">
        <is>
          <t>CKS</t>
        </is>
      </c>
      <c r="F11" s="121" t="inlineStr">
        <is>
          <t>TCD7H73</t>
        </is>
      </c>
      <c r="G11" s="121" t="inlineStr">
        <is>
          <t>CARAJÁS</t>
        </is>
      </c>
      <c r="H11" s="123" t="inlineStr">
        <is>
          <t>William</t>
        </is>
      </c>
      <c r="I11" s="88" t="n">
        <v>45807</v>
      </c>
      <c r="J11" s="125" t="n">
        <v>3705</v>
      </c>
      <c r="K11" s="125" t="n">
        <v>4117</v>
      </c>
      <c r="L11" s="126" t="n">
        <v>45797</v>
      </c>
      <c r="M11" s="138" t="inlineStr">
        <is>
          <t>pendente</t>
        </is>
      </c>
      <c r="N11" s="135" t="n">
        <v>45810</v>
      </c>
    </row>
    <row r="12">
      <c r="A12" s="115" t="inlineStr">
        <is>
          <t>Caminhonete</t>
        </is>
      </c>
      <c r="B12" s="116" t="inlineStr">
        <is>
          <t>NISSAN FRONTIER</t>
        </is>
      </c>
      <c r="C12" s="115" t="inlineStr">
        <is>
          <t>TN78</t>
        </is>
      </c>
      <c r="D12" s="115" t="inlineStr">
        <is>
          <t>SONDA</t>
        </is>
      </c>
      <c r="E12" s="115" t="inlineStr">
        <is>
          <t>CKS</t>
        </is>
      </c>
      <c r="F12" s="115" t="inlineStr">
        <is>
          <t xml:space="preserve">FZY4F28 </t>
        </is>
      </c>
      <c r="G12" s="115" t="inlineStr">
        <is>
          <t>CARAJÁS</t>
        </is>
      </c>
      <c r="H12" s="115" t="inlineStr">
        <is>
          <t>Ederson</t>
        </is>
      </c>
      <c r="I12" s="88" t="n">
        <v>45807</v>
      </c>
      <c r="J12" s="118" t="inlineStr">
        <is>
          <t xml:space="preserve"> 90 862</t>
        </is>
      </c>
      <c r="K12" s="118" t="n">
        <v>91832</v>
      </c>
      <c r="L12" s="119" t="n">
        <v>45807</v>
      </c>
      <c r="M12" s="139" t="inlineStr">
        <is>
          <t>30/05 - 30/05 ok</t>
        </is>
      </c>
      <c r="N12" s="59" t="n">
        <v>45814</v>
      </c>
    </row>
    <row r="13">
      <c r="A13" s="313" t="inlineStr">
        <is>
          <t>Veículos - Novos Cadastros</t>
        </is>
      </c>
      <c r="B13" s="321" t="n"/>
      <c r="C13" s="321" t="n"/>
      <c r="D13" s="321" t="n"/>
      <c r="E13" s="321" t="n"/>
      <c r="F13" s="321" t="n"/>
      <c r="G13" s="321" t="n"/>
      <c r="H13" s="321" t="n"/>
      <c r="I13" s="321" t="n"/>
      <c r="J13" s="321" t="n"/>
      <c r="K13" s="321" t="n"/>
      <c r="L13" s="321" t="n"/>
      <c r="M13" s="321" t="n"/>
      <c r="N13" s="321" t="n"/>
    </row>
    <row r="14">
      <c r="A14" s="82" t="inlineStr">
        <is>
          <t>Tipo</t>
        </is>
      </c>
      <c r="B14" s="82" t="inlineStr">
        <is>
          <t xml:space="preserve">Modelos </t>
        </is>
      </c>
      <c r="C14" s="82" t="inlineStr">
        <is>
          <t>Tag</t>
        </is>
      </c>
      <c r="D14" s="82" t="inlineStr">
        <is>
          <t>Locadora</t>
        </is>
      </c>
      <c r="E14" s="82" t="inlineStr">
        <is>
          <t>Localidade</t>
        </is>
      </c>
      <c r="F14" s="82" t="inlineStr">
        <is>
          <t>Placa</t>
        </is>
      </c>
      <c r="G14" s="82" t="inlineStr">
        <is>
          <t>SSO</t>
        </is>
      </c>
      <c r="H14" s="82" t="inlineStr">
        <is>
          <t>Condutores</t>
        </is>
      </c>
      <c r="I14" s="82" t="inlineStr">
        <is>
          <t>SEMANA 01</t>
        </is>
      </c>
      <c r="J14" s="82" t="n"/>
      <c r="K14" s="82" t="inlineStr">
        <is>
          <t xml:space="preserve">KM  </t>
        </is>
      </c>
      <c r="L14" s="82" t="n"/>
      <c r="M14" s="82" t="n"/>
      <c r="N14" s="85" t="inlineStr">
        <is>
          <t>Prox. Lavagem</t>
        </is>
      </c>
    </row>
  </sheetData>
  <mergeCells count="1">
    <mergeCell ref="A13:N13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3" sqref="A13"/>
    </sheetView>
  </sheetViews>
  <sheetFormatPr baseColWidth="8" defaultRowHeight="14.3"/>
  <cols>
    <col width="20.5" bestFit="1" customWidth="1" min="1" max="1"/>
    <col width="17" bestFit="1" customWidth="1" min="2" max="2"/>
    <col width="20" bestFit="1" customWidth="1" min="8" max="8"/>
    <col width="14.375" bestFit="1" customWidth="1" min="9" max="9"/>
    <col width="14" bestFit="1" customWidth="1" min="10" max="10"/>
    <col width="11.125" bestFit="1" customWidth="1" min="11" max="11"/>
    <col width="15.375" bestFit="1" customWidth="1" min="12" max="12"/>
    <col width="23.375" bestFit="1" customWidth="1" min="13" max="13"/>
    <col width="14.375" bestFit="1" customWidth="1" min="14" max="14"/>
  </cols>
  <sheetData>
    <row r="1">
      <c r="A1" s="77" t="inlineStr">
        <is>
          <t xml:space="preserve">Veículos Cadastrados 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9" t="n"/>
      <c r="M1" s="80" t="n"/>
      <c r="N1" s="81" t="n"/>
    </row>
    <row r="2">
      <c r="A2" s="82" t="inlineStr">
        <is>
          <t>Tipo</t>
        </is>
      </c>
      <c r="B2" s="82" t="inlineStr">
        <is>
          <t xml:space="preserve">Modelos </t>
        </is>
      </c>
      <c r="C2" s="82" t="inlineStr">
        <is>
          <t>Tag</t>
        </is>
      </c>
      <c r="D2" s="82" t="inlineStr">
        <is>
          <t>Locadora</t>
        </is>
      </c>
      <c r="E2" s="82" t="inlineStr">
        <is>
          <t>Localidade</t>
        </is>
      </c>
      <c r="F2" s="82" t="inlineStr">
        <is>
          <t>Placa</t>
        </is>
      </c>
      <c r="G2" s="82" t="inlineStr">
        <is>
          <t>SSO</t>
        </is>
      </c>
      <c r="H2" s="82" t="inlineStr">
        <is>
          <t>Condutores</t>
        </is>
      </c>
      <c r="I2" s="82" t="inlineStr">
        <is>
          <t>SEMANA 01</t>
        </is>
      </c>
      <c r="J2" s="82" t="inlineStr">
        <is>
          <t>KM ANTERIOR</t>
        </is>
      </c>
      <c r="K2" s="82" t="inlineStr">
        <is>
          <t>KM  ATUAL</t>
        </is>
      </c>
      <c r="L2" s="83" t="inlineStr">
        <is>
          <t>Ultima lavagem</t>
        </is>
      </c>
      <c r="M2" s="84" t="inlineStr">
        <is>
          <t>lavagem programada S-1</t>
        </is>
      </c>
      <c r="N2" s="85" t="inlineStr">
        <is>
          <t>Prox. Lavagem</t>
        </is>
      </c>
    </row>
    <row r="3">
      <c r="A3" s="86" t="inlineStr">
        <is>
          <t>Caminhonete</t>
        </is>
      </c>
      <c r="B3" s="40" t="inlineStr">
        <is>
          <t>CHEVROLET S10</t>
        </is>
      </c>
      <c r="C3" s="86" t="inlineStr">
        <is>
          <t>TN 29</t>
        </is>
      </c>
      <c r="D3" s="86" t="inlineStr">
        <is>
          <t>Sonda</t>
        </is>
      </c>
      <c r="E3" s="86" t="inlineStr">
        <is>
          <t>CKS</t>
        </is>
      </c>
      <c r="F3" s="86" t="inlineStr">
        <is>
          <t>FXR0F35</t>
        </is>
      </c>
      <c r="G3" s="86" t="inlineStr">
        <is>
          <t>CARAJÁS</t>
        </is>
      </c>
      <c r="H3" s="87" t="inlineStr">
        <is>
          <t>JOÃO TAVARES</t>
        </is>
      </c>
      <c r="I3" s="88" t="n">
        <v>45814</v>
      </c>
      <c r="J3" s="89" t="n">
        <v>157902</v>
      </c>
      <c r="K3" s="89" t="n">
        <v>158784</v>
      </c>
      <c r="L3" s="90" t="n">
        <v>45807</v>
      </c>
      <c r="M3" s="140" t="inlineStr">
        <is>
          <t>pendente</t>
        </is>
      </c>
      <c r="N3" s="59" t="n">
        <v>45818</v>
      </c>
    </row>
    <row r="4">
      <c r="A4" s="86" t="inlineStr">
        <is>
          <t>Caminhonete</t>
        </is>
      </c>
      <c r="B4" s="40" t="inlineStr">
        <is>
          <t>Hillux</t>
        </is>
      </c>
      <c r="C4" s="86" t="inlineStr">
        <is>
          <t>TN 31</t>
        </is>
      </c>
      <c r="D4" s="86" t="inlineStr">
        <is>
          <t>SINAL</t>
        </is>
      </c>
      <c r="E4" s="86" t="inlineStr">
        <is>
          <t>CKS</t>
        </is>
      </c>
      <c r="F4" s="86" t="inlineStr">
        <is>
          <t>TCD7I68</t>
        </is>
      </c>
      <c r="G4" s="86" t="inlineStr">
        <is>
          <t>CARAJÁS</t>
        </is>
      </c>
      <c r="H4" s="87" t="inlineStr">
        <is>
          <t>Lucas</t>
        </is>
      </c>
      <c r="I4" s="88" t="n">
        <v>45814</v>
      </c>
      <c r="J4" s="89" t="n">
        <v>16948</v>
      </c>
      <c r="K4" s="89" t="n"/>
      <c r="L4" s="90" t="n">
        <v>45803</v>
      </c>
      <c r="M4" s="137" t="inlineStr">
        <is>
          <t>01/06 - 01/06 - OK</t>
        </is>
      </c>
      <c r="N4" s="59" t="n">
        <v>45815</v>
      </c>
    </row>
    <row r="5">
      <c r="A5" s="86" t="inlineStr">
        <is>
          <t>Caminhonete</t>
        </is>
      </c>
      <c r="B5" s="40" t="inlineStr">
        <is>
          <t xml:space="preserve">FORD RANGER </t>
        </is>
      </c>
      <c r="C5" s="86" t="inlineStr">
        <is>
          <t>TN 72</t>
        </is>
      </c>
      <c r="D5" s="86" t="inlineStr">
        <is>
          <t>Sonda</t>
        </is>
      </c>
      <c r="E5" s="86" t="inlineStr">
        <is>
          <t>CKS</t>
        </is>
      </c>
      <c r="F5" s="86" t="inlineStr">
        <is>
          <t>FXD9A18</t>
        </is>
      </c>
      <c r="G5" s="86" t="inlineStr">
        <is>
          <t>CARAJÁS</t>
        </is>
      </c>
      <c r="H5" s="87" t="inlineStr">
        <is>
          <t>RAIMUNDO CHARLES</t>
        </is>
      </c>
      <c r="I5" s="88" t="n">
        <v>45814</v>
      </c>
      <c r="J5" s="89" t="n">
        <v>93251</v>
      </c>
      <c r="K5" s="89" t="n">
        <v>93996</v>
      </c>
      <c r="L5" s="90" t="n">
        <v>45805</v>
      </c>
      <c r="M5" s="140" t="inlineStr">
        <is>
          <t>pendente</t>
        </is>
      </c>
      <c r="N5" s="135" t="n">
        <v>45818</v>
      </c>
    </row>
    <row r="6">
      <c r="A6" s="86" t="inlineStr">
        <is>
          <t>Caminhonete</t>
        </is>
      </c>
      <c r="B6" s="40" t="inlineStr">
        <is>
          <t>Hillux</t>
        </is>
      </c>
      <c r="C6" s="86" t="inlineStr">
        <is>
          <t>TN 03</t>
        </is>
      </c>
      <c r="D6" s="86" t="inlineStr">
        <is>
          <t>SINAL</t>
        </is>
      </c>
      <c r="E6" s="86" t="inlineStr">
        <is>
          <t>CKS</t>
        </is>
      </c>
      <c r="F6" s="86" t="inlineStr">
        <is>
          <t>TCD7H75</t>
        </is>
      </c>
      <c r="G6" s="86" t="inlineStr">
        <is>
          <t>CARAJÁS</t>
        </is>
      </c>
      <c r="H6" s="87" t="inlineStr">
        <is>
          <t>Lucas</t>
        </is>
      </c>
      <c r="I6" s="88" t="n">
        <v>45814</v>
      </c>
      <c r="J6" s="89" t="n">
        <v>15687</v>
      </c>
      <c r="K6" s="89" t="n">
        <v>15987</v>
      </c>
      <c r="L6" s="90" t="n">
        <v>45804</v>
      </c>
      <c r="M6" s="140" t="inlineStr">
        <is>
          <t>pendente</t>
        </is>
      </c>
      <c r="N6" s="135" t="n">
        <v>45817</v>
      </c>
    </row>
    <row r="7">
      <c r="A7" s="100" t="inlineStr">
        <is>
          <t>Caminhonete</t>
        </is>
      </c>
      <c r="B7" s="41" t="inlineStr">
        <is>
          <t>NISSAN FRONTIER</t>
        </is>
      </c>
      <c r="C7" s="100" t="inlineStr">
        <is>
          <t>TN 76</t>
        </is>
      </c>
      <c r="D7" s="100" t="inlineStr">
        <is>
          <t>SINAL</t>
        </is>
      </c>
      <c r="E7" s="100" t="inlineStr">
        <is>
          <t>CKS</t>
        </is>
      </c>
      <c r="F7" s="100" t="inlineStr">
        <is>
          <t>TCD7H72</t>
        </is>
      </c>
      <c r="G7" s="100" t="inlineStr">
        <is>
          <t>CARAJÁS</t>
        </is>
      </c>
      <c r="H7" s="101" t="inlineStr">
        <is>
          <t>Renan</t>
        </is>
      </c>
      <c r="I7" s="88" t="n">
        <v>45814</v>
      </c>
      <c r="J7" s="102" t="n">
        <v>10672</v>
      </c>
      <c r="K7" s="102" t="n">
        <v>10734</v>
      </c>
      <c r="L7" s="104" t="n">
        <v>45804</v>
      </c>
      <c r="M7" s="140" t="inlineStr">
        <is>
          <t>pendente</t>
        </is>
      </c>
      <c r="N7" s="59" t="n">
        <v>45817</v>
      </c>
    </row>
    <row r="8">
      <c r="A8" s="100" t="inlineStr">
        <is>
          <t>Caminhonete</t>
        </is>
      </c>
      <c r="B8" s="41" t="inlineStr">
        <is>
          <t>HILLUX</t>
        </is>
      </c>
      <c r="C8" s="100" t="inlineStr">
        <is>
          <t>TN 04</t>
        </is>
      </c>
      <c r="D8" s="100" t="inlineStr">
        <is>
          <t>SINAL</t>
        </is>
      </c>
      <c r="E8" s="100" t="inlineStr">
        <is>
          <t>CKS</t>
        </is>
      </c>
      <c r="F8" s="100" t="inlineStr">
        <is>
          <t>TDM2E37</t>
        </is>
      </c>
      <c r="G8" s="100" t="inlineStr">
        <is>
          <t>CARAJÁS</t>
        </is>
      </c>
      <c r="H8" s="101" t="inlineStr">
        <is>
          <t>MATHEUS</t>
        </is>
      </c>
      <c r="I8" s="88" t="n">
        <v>45814</v>
      </c>
      <c r="J8" s="102" t="n">
        <v>6408</v>
      </c>
      <c r="K8" s="102" t="n">
        <v>7320</v>
      </c>
      <c r="L8" s="104" t="n">
        <v>45808</v>
      </c>
      <c r="M8" s="137" t="inlineStr">
        <is>
          <t>31/05 - 01/06 - OK</t>
        </is>
      </c>
      <c r="N8" s="59" t="n">
        <v>45816</v>
      </c>
    </row>
    <row r="9">
      <c r="A9" s="100" t="inlineStr">
        <is>
          <t>Leve</t>
        </is>
      </c>
      <c r="B9" s="41" t="inlineStr">
        <is>
          <t>Tracker</t>
        </is>
      </c>
      <c r="C9" s="100" t="inlineStr">
        <is>
          <t>TN 01</t>
        </is>
      </c>
      <c r="D9" s="100" t="inlineStr">
        <is>
          <t>Localiza</t>
        </is>
      </c>
      <c r="E9" s="100" t="inlineStr">
        <is>
          <t>CKS</t>
        </is>
      </c>
      <c r="F9" s="100" t="inlineStr">
        <is>
          <t>TCO2C15</t>
        </is>
      </c>
      <c r="G9" s="100" t="inlineStr">
        <is>
          <t>CARAJÁS</t>
        </is>
      </c>
      <c r="H9" s="101" t="inlineStr">
        <is>
          <t>Fabricio Maia</t>
        </is>
      </c>
      <c r="I9" s="88" t="n">
        <v>45814</v>
      </c>
      <c r="J9" s="102" t="n">
        <v>15349</v>
      </c>
      <c r="K9" s="102" t="n"/>
      <c r="L9" s="104" t="n"/>
      <c r="M9" s="140" t="inlineStr">
        <is>
          <t>pendente</t>
        </is>
      </c>
      <c r="N9" s="58" t="inlineStr">
        <is>
          <t> </t>
        </is>
      </c>
    </row>
    <row r="10">
      <c r="A10" s="100" t="inlineStr">
        <is>
          <t>Caminhonete</t>
        </is>
      </c>
      <c r="B10" s="41" t="inlineStr">
        <is>
          <t>Ranger</t>
        </is>
      </c>
      <c r="C10" s="100" t="inlineStr">
        <is>
          <t>TN 74</t>
        </is>
      </c>
      <c r="D10" s="100" t="inlineStr">
        <is>
          <t>SONDA</t>
        </is>
      </c>
      <c r="E10" s="100" t="inlineStr">
        <is>
          <t>CKS</t>
        </is>
      </c>
      <c r="F10" s="100" t="inlineStr">
        <is>
          <t>RDM2E33</t>
        </is>
      </c>
      <c r="G10" s="100" t="inlineStr">
        <is>
          <t>CARAJÁS</t>
        </is>
      </c>
      <c r="H10" s="101" t="inlineStr">
        <is>
          <t>Ederson</t>
        </is>
      </c>
      <c r="I10" s="88" t="n">
        <v>45814</v>
      </c>
      <c r="J10" s="100" t="n">
        <v>8412</v>
      </c>
      <c r="K10" s="100" t="n">
        <v>8665</v>
      </c>
      <c r="L10" s="104" t="n"/>
      <c r="M10" s="140" t="inlineStr">
        <is>
          <t>pendente</t>
        </is>
      </c>
      <c r="N10" s="59" t="n">
        <v>45818</v>
      </c>
    </row>
    <row r="11">
      <c r="A11" s="121" t="inlineStr">
        <is>
          <t>Caminhonete</t>
        </is>
      </c>
      <c r="B11" s="122" t="inlineStr">
        <is>
          <t>Hillux</t>
        </is>
      </c>
      <c r="C11" s="121" t="inlineStr">
        <is>
          <t>TN 73</t>
        </is>
      </c>
      <c r="D11" s="121" t="inlineStr">
        <is>
          <t>SINAL</t>
        </is>
      </c>
      <c r="E11" s="121" t="inlineStr">
        <is>
          <t>CKS</t>
        </is>
      </c>
      <c r="F11" s="121" t="inlineStr">
        <is>
          <t>TCD7H73</t>
        </is>
      </c>
      <c r="G11" s="121" t="inlineStr">
        <is>
          <t>CARAJÁS</t>
        </is>
      </c>
      <c r="H11" s="123" t="inlineStr">
        <is>
          <t>William</t>
        </is>
      </c>
      <c r="I11" s="88" t="n">
        <v>45814</v>
      </c>
      <c r="J11" s="125" t="n">
        <v>4117</v>
      </c>
      <c r="K11" s="125" t="n">
        <v>4393</v>
      </c>
      <c r="L11" s="126" t="n">
        <v>45797</v>
      </c>
      <c r="M11" s="140" t="inlineStr">
        <is>
          <t>pendente</t>
        </is>
      </c>
      <c r="N11" s="135" t="n">
        <v>45819</v>
      </c>
    </row>
    <row r="12">
      <c r="A12" s="115" t="inlineStr">
        <is>
          <t>Caminhonete</t>
        </is>
      </c>
      <c r="B12" s="116" t="inlineStr">
        <is>
          <t>NISSAN FRONTIER</t>
        </is>
      </c>
      <c r="C12" s="115" t="inlineStr">
        <is>
          <t>TN78</t>
        </is>
      </c>
      <c r="D12" s="115" t="inlineStr">
        <is>
          <t>SONDA</t>
        </is>
      </c>
      <c r="E12" s="115" t="inlineStr">
        <is>
          <t>CKS</t>
        </is>
      </c>
      <c r="F12" s="115" t="inlineStr">
        <is>
          <t xml:space="preserve">FZY4F28 </t>
        </is>
      </c>
      <c r="G12" s="115" t="inlineStr">
        <is>
          <t>CARAJÁS</t>
        </is>
      </c>
      <c r="H12" s="115" t="inlineStr">
        <is>
          <t>Ederson</t>
        </is>
      </c>
      <c r="I12" s="88" t="n">
        <v>45814</v>
      </c>
      <c r="J12" s="118" t="n">
        <v>91832</v>
      </c>
      <c r="K12" s="118" t="n">
        <v>92780</v>
      </c>
      <c r="L12" s="119" t="n">
        <v>45807</v>
      </c>
      <c r="M12" s="140" t="inlineStr">
        <is>
          <t>pendente</t>
        </is>
      </c>
      <c r="N12" s="59" t="n">
        <v>45819</v>
      </c>
    </row>
    <row r="13">
      <c r="A13" s="313" t="inlineStr">
        <is>
          <t>Veículos - Novos Cadastros</t>
        </is>
      </c>
      <c r="B13" s="321" t="n"/>
      <c r="C13" s="321" t="n"/>
      <c r="D13" s="321" t="n"/>
      <c r="E13" s="321" t="n"/>
      <c r="F13" s="321" t="n"/>
      <c r="G13" s="321" t="n"/>
      <c r="H13" s="321" t="n"/>
      <c r="I13" s="321" t="n"/>
      <c r="J13" s="321" t="n"/>
      <c r="K13" s="321" t="n"/>
      <c r="L13" s="321" t="n"/>
      <c r="M13" s="321" t="n"/>
      <c r="N13" s="321" t="n"/>
    </row>
    <row r="14">
      <c r="A14" s="82" t="inlineStr">
        <is>
          <t>Tipo</t>
        </is>
      </c>
      <c r="B14" s="82" t="inlineStr">
        <is>
          <t xml:space="preserve">Modelos </t>
        </is>
      </c>
      <c r="C14" s="82" t="inlineStr">
        <is>
          <t>Tag</t>
        </is>
      </c>
      <c r="D14" s="82" t="inlineStr">
        <is>
          <t>Locadora</t>
        </is>
      </c>
      <c r="E14" s="82" t="inlineStr">
        <is>
          <t>Localidade</t>
        </is>
      </c>
      <c r="F14" s="82" t="inlineStr">
        <is>
          <t>Placa</t>
        </is>
      </c>
      <c r="G14" s="82" t="inlineStr">
        <is>
          <t>SSO</t>
        </is>
      </c>
      <c r="H14" s="82" t="inlineStr">
        <is>
          <t>Condutores</t>
        </is>
      </c>
      <c r="I14" s="82" t="inlineStr">
        <is>
          <t>SEMANA 01</t>
        </is>
      </c>
      <c r="J14" s="82" t="n"/>
      <c r="K14" s="82" t="inlineStr">
        <is>
          <t xml:space="preserve">KM  </t>
        </is>
      </c>
      <c r="L14" s="82" t="n"/>
      <c r="M14" s="82" t="n"/>
      <c r="N14" s="85" t="inlineStr">
        <is>
          <t>Prox. Lavagem</t>
        </is>
      </c>
    </row>
  </sheetData>
  <mergeCells count="1">
    <mergeCell ref="A13:N13"/>
  </mergeCells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G5" sqref="G5"/>
    </sheetView>
  </sheetViews>
  <sheetFormatPr baseColWidth="8" defaultRowHeight="14.3"/>
  <cols>
    <col width="20.5" bestFit="1" customWidth="1" min="1" max="1"/>
    <col width="14.375" bestFit="1" customWidth="1" min="6" max="6"/>
    <col width="11.625" bestFit="1" customWidth="1" min="9" max="9"/>
    <col width="9.875" customWidth="1" min="11" max="11"/>
    <col width="15.375" bestFit="1" customWidth="1" min="12" max="12"/>
    <col width="23.375" bestFit="1" customWidth="1" min="13" max="13"/>
    <col width="14.375" bestFit="1" customWidth="1" min="14" max="14"/>
  </cols>
  <sheetData>
    <row r="1">
      <c r="A1" s="77" t="inlineStr">
        <is>
          <t xml:space="preserve">Veículos Cadastrados 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9" t="n"/>
      <c r="M1" s="80" t="n"/>
      <c r="N1" s="81" t="n"/>
    </row>
    <row r="2">
      <c r="A2" s="82" t="inlineStr">
        <is>
          <t>Tipo</t>
        </is>
      </c>
      <c r="B2" s="82" t="inlineStr">
        <is>
          <t xml:space="preserve">Modelos </t>
        </is>
      </c>
      <c r="C2" s="82" t="inlineStr">
        <is>
          <t>Tag</t>
        </is>
      </c>
      <c r="D2" s="82" t="inlineStr">
        <is>
          <t>Locadora</t>
        </is>
      </c>
      <c r="E2" s="82" t="inlineStr">
        <is>
          <t>Localidade</t>
        </is>
      </c>
      <c r="F2" s="82" t="inlineStr">
        <is>
          <t>Placa</t>
        </is>
      </c>
      <c r="G2" s="82" t="inlineStr">
        <is>
          <t>SSO</t>
        </is>
      </c>
      <c r="H2" s="82" t="inlineStr">
        <is>
          <t>Condutores</t>
        </is>
      </c>
      <c r="I2" s="82" t="inlineStr">
        <is>
          <t>SEMANA 02</t>
        </is>
      </c>
      <c r="J2" s="82" t="inlineStr">
        <is>
          <t>KM ANTERIOR</t>
        </is>
      </c>
      <c r="K2" s="82" t="inlineStr">
        <is>
          <t>KM  ATUAL</t>
        </is>
      </c>
      <c r="L2" s="83" t="inlineStr">
        <is>
          <t>Ultima lavagem</t>
        </is>
      </c>
      <c r="M2" s="84" t="inlineStr">
        <is>
          <t>lavagem programada S-1</t>
        </is>
      </c>
      <c r="N2" s="85" t="inlineStr">
        <is>
          <t>Prox. Lavagem</t>
        </is>
      </c>
    </row>
    <row r="3">
      <c r="A3" s="86" t="inlineStr">
        <is>
          <t>Caminhonete</t>
        </is>
      </c>
      <c r="B3" s="40" t="inlineStr">
        <is>
          <t>CHEVROLET S10</t>
        </is>
      </c>
      <c r="C3" s="86" t="inlineStr">
        <is>
          <t>TN 29</t>
        </is>
      </c>
      <c r="D3" s="86" t="inlineStr">
        <is>
          <t>Sonda</t>
        </is>
      </c>
      <c r="E3" s="86" t="inlineStr">
        <is>
          <t>CKS</t>
        </is>
      </c>
      <c r="F3" s="86" t="inlineStr">
        <is>
          <t>FXR0F35</t>
        </is>
      </c>
      <c r="G3" s="86" t="inlineStr">
        <is>
          <t>CARAJÁS</t>
        </is>
      </c>
      <c r="H3" s="87" t="inlineStr">
        <is>
          <t>JOÃO TAVARES</t>
        </is>
      </c>
      <c r="I3" s="88" t="n">
        <v>45821</v>
      </c>
      <c r="J3" s="89" t="n">
        <v>158784</v>
      </c>
      <c r="K3" s="89" t="n">
        <v>159559</v>
      </c>
      <c r="L3" s="90" t="n">
        <v>45807</v>
      </c>
      <c r="M3" s="140" t="inlineStr">
        <is>
          <t>pendente</t>
        </is>
      </c>
      <c r="N3" s="59" t="n">
        <v>45824</v>
      </c>
    </row>
    <row r="4">
      <c r="A4" s="86" t="inlineStr">
        <is>
          <t>Caminhonete</t>
        </is>
      </c>
      <c r="B4" s="40" t="inlineStr">
        <is>
          <t>Hillux</t>
        </is>
      </c>
      <c r="C4" s="86" t="inlineStr">
        <is>
          <t>TN 31</t>
        </is>
      </c>
      <c r="D4" s="86" t="inlineStr">
        <is>
          <t>SINAL</t>
        </is>
      </c>
      <c r="E4" s="86" t="inlineStr">
        <is>
          <t>CKS</t>
        </is>
      </c>
      <c r="F4" s="86" t="inlineStr">
        <is>
          <t>TCD7I68</t>
        </is>
      </c>
      <c r="G4" s="86" t="inlineStr">
        <is>
          <t>CARAJÁS</t>
        </is>
      </c>
      <c r="H4" s="87" t="inlineStr">
        <is>
          <t>Lucas</t>
        </is>
      </c>
      <c r="I4" s="88" t="n">
        <v>45821</v>
      </c>
      <c r="J4" s="89" t="n">
        <v>16948</v>
      </c>
      <c r="K4" s="89" t="n">
        <v>18113</v>
      </c>
      <c r="L4" s="90" t="n">
        <v>45815</v>
      </c>
      <c r="M4" s="137" t="inlineStr">
        <is>
          <t>07/06 - 07/06 - ok</t>
        </is>
      </c>
      <c r="N4" s="59" t="n">
        <v>45822</v>
      </c>
    </row>
    <row r="5">
      <c r="A5" s="86" t="inlineStr">
        <is>
          <t>Caminhonete</t>
        </is>
      </c>
      <c r="B5" s="40" t="inlineStr">
        <is>
          <t xml:space="preserve">FORD RANGER </t>
        </is>
      </c>
      <c r="C5" s="86" t="inlineStr">
        <is>
          <t>TN 72</t>
        </is>
      </c>
      <c r="D5" s="86" t="inlineStr">
        <is>
          <t>Sonda</t>
        </is>
      </c>
      <c r="E5" s="86" t="inlineStr">
        <is>
          <t>CKS</t>
        </is>
      </c>
      <c r="F5" s="86" t="inlineStr">
        <is>
          <t>FXD9A18</t>
        </is>
      </c>
      <c r="G5" s="86" t="inlineStr">
        <is>
          <t>CARAJÁS</t>
        </is>
      </c>
      <c r="H5" s="87" t="inlineStr">
        <is>
          <t>RAIMUNDO CHARLES</t>
        </is>
      </c>
      <c r="I5" s="88" t="n">
        <v>45821</v>
      </c>
      <c r="J5" s="89" t="n">
        <v>93996</v>
      </c>
      <c r="K5" s="89" t="n">
        <v>94867</v>
      </c>
      <c r="L5" s="119" t="n">
        <v>45821</v>
      </c>
      <c r="M5" s="137" t="inlineStr">
        <is>
          <t>13/06 - 10/06 - OK</t>
        </is>
      </c>
      <c r="N5" s="135" t="n">
        <v>45825</v>
      </c>
    </row>
    <row r="6">
      <c r="A6" s="86" t="inlineStr">
        <is>
          <t>Caminhonete</t>
        </is>
      </c>
      <c r="B6" s="40" t="inlineStr">
        <is>
          <t>Hillux</t>
        </is>
      </c>
      <c r="C6" s="86" t="inlineStr">
        <is>
          <t>TN 03</t>
        </is>
      </c>
      <c r="D6" s="86" t="inlineStr">
        <is>
          <t>SINAL</t>
        </is>
      </c>
      <c r="E6" s="86" t="inlineStr">
        <is>
          <t>CKS</t>
        </is>
      </c>
      <c r="F6" s="86" t="inlineStr">
        <is>
          <t>TCD7H75</t>
        </is>
      </c>
      <c r="G6" s="86" t="inlineStr">
        <is>
          <t>CARAJÁS</t>
        </is>
      </c>
      <c r="H6" s="87" t="inlineStr">
        <is>
          <t>Lucas</t>
        </is>
      </c>
      <c r="I6" s="88" t="n">
        <v>45821</v>
      </c>
      <c r="J6" s="89" t="n">
        <v>15987</v>
      </c>
      <c r="K6" s="89" t="n">
        <v>16491</v>
      </c>
      <c r="L6" s="90" t="n">
        <v>45804</v>
      </c>
      <c r="M6" s="140" t="inlineStr">
        <is>
          <t>pendente</t>
        </is>
      </c>
      <c r="N6" s="135" t="n">
        <v>45824</v>
      </c>
    </row>
    <row r="7">
      <c r="A7" s="100" t="inlineStr">
        <is>
          <t>Caminhonete</t>
        </is>
      </c>
      <c r="B7" s="41" t="inlineStr">
        <is>
          <t>NISSAN FRONTIER</t>
        </is>
      </c>
      <c r="C7" s="100" t="inlineStr">
        <is>
          <t>TN 76</t>
        </is>
      </c>
      <c r="D7" s="100" t="inlineStr">
        <is>
          <t>SINAL</t>
        </is>
      </c>
      <c r="E7" s="100" t="inlineStr">
        <is>
          <t>CKS</t>
        </is>
      </c>
      <c r="F7" s="100" t="inlineStr">
        <is>
          <t>TCD7H72</t>
        </is>
      </c>
      <c r="G7" s="100" t="inlineStr">
        <is>
          <t>CARAJÁS</t>
        </is>
      </c>
      <c r="H7" s="101" t="inlineStr">
        <is>
          <t>Renan</t>
        </is>
      </c>
      <c r="I7" s="88" t="n">
        <v>45821</v>
      </c>
      <c r="J7" s="102" t="n">
        <v>10734</v>
      </c>
      <c r="K7" s="102" t="n">
        <v>11459</v>
      </c>
      <c r="L7" s="104" t="n">
        <v>45804</v>
      </c>
      <c r="M7" s="140" t="inlineStr">
        <is>
          <t>pendente</t>
        </is>
      </c>
      <c r="N7" s="59" t="n">
        <v>45826</v>
      </c>
    </row>
    <row r="8">
      <c r="A8" s="100" t="inlineStr">
        <is>
          <t>Caminhonete</t>
        </is>
      </c>
      <c r="B8" s="41" t="inlineStr">
        <is>
          <t>HILLUX</t>
        </is>
      </c>
      <c r="C8" s="100" t="inlineStr">
        <is>
          <t>TN 04</t>
        </is>
      </c>
      <c r="D8" s="100" t="inlineStr">
        <is>
          <t>SINAL</t>
        </is>
      </c>
      <c r="E8" s="100" t="inlineStr">
        <is>
          <t>CKS</t>
        </is>
      </c>
      <c r="F8" s="100" t="inlineStr">
        <is>
          <t>TDM2E37</t>
        </is>
      </c>
      <c r="G8" s="100" t="inlineStr">
        <is>
          <t>CARAJÁS</t>
        </is>
      </c>
      <c r="H8" s="101" t="inlineStr">
        <is>
          <t>MATHEUS</t>
        </is>
      </c>
      <c r="I8" s="88" t="n">
        <v>45821</v>
      </c>
      <c r="J8" s="102" t="n">
        <v>7320</v>
      </c>
      <c r="K8" s="102" t="n">
        <v>7788</v>
      </c>
      <c r="L8" s="104" t="n">
        <v>45815</v>
      </c>
      <c r="M8" s="137" t="inlineStr">
        <is>
          <t>07/06 - 08/06 - OK</t>
        </is>
      </c>
      <c r="N8" s="59" t="n">
        <v>45822</v>
      </c>
    </row>
    <row r="9">
      <c r="A9" s="100" t="inlineStr">
        <is>
          <t>Leve</t>
        </is>
      </c>
      <c r="B9" s="41" t="inlineStr">
        <is>
          <t>Tracker</t>
        </is>
      </c>
      <c r="C9" s="100" t="inlineStr">
        <is>
          <t>TN 01</t>
        </is>
      </c>
      <c r="D9" s="100" t="inlineStr">
        <is>
          <t>Localiza</t>
        </is>
      </c>
      <c r="E9" s="100" t="inlineStr">
        <is>
          <t>CKS</t>
        </is>
      </c>
      <c r="F9" s="100" t="inlineStr">
        <is>
          <t>TCO2C15</t>
        </is>
      </c>
      <c r="G9" s="100" t="inlineStr">
        <is>
          <t>CARAJÁS</t>
        </is>
      </c>
      <c r="H9" s="101" t="inlineStr">
        <is>
          <t>Fabricio Maia</t>
        </is>
      </c>
      <c r="I9" s="88" t="n">
        <v>45821</v>
      </c>
      <c r="J9" s="102" t="n">
        <v>15349</v>
      </c>
      <c r="K9" s="102" t="n">
        <v>16468</v>
      </c>
      <c r="L9" s="104" t="n"/>
      <c r="M9" s="140" t="inlineStr">
        <is>
          <t>pendente</t>
        </is>
      </c>
      <c r="N9" s="58" t="inlineStr">
        <is>
          <t> </t>
        </is>
      </c>
    </row>
    <row r="10">
      <c r="A10" s="100" t="inlineStr">
        <is>
          <t>Caminhonete</t>
        </is>
      </c>
      <c r="B10" s="41" t="inlineStr">
        <is>
          <t>Ranger</t>
        </is>
      </c>
      <c r="C10" s="100" t="inlineStr">
        <is>
          <t>TN 74</t>
        </is>
      </c>
      <c r="D10" s="100" t="inlineStr">
        <is>
          <t>SONDA</t>
        </is>
      </c>
      <c r="E10" s="100" t="inlineStr">
        <is>
          <t>CKS</t>
        </is>
      </c>
      <c r="F10" s="100" t="inlineStr">
        <is>
          <t>RDM2E33</t>
        </is>
      </c>
      <c r="G10" s="100" t="inlineStr">
        <is>
          <t>CARAJÁS</t>
        </is>
      </c>
      <c r="H10" s="101" t="inlineStr">
        <is>
          <t>Ederson</t>
        </is>
      </c>
      <c r="I10" s="88" t="n">
        <v>45821</v>
      </c>
      <c r="J10" s="100" t="n">
        <v>8665</v>
      </c>
      <c r="K10" s="100" t="n">
        <v>9054</v>
      </c>
      <c r="L10" s="104" t="n">
        <v>45820</v>
      </c>
      <c r="M10" s="137" t="inlineStr">
        <is>
          <t>12/06 - 10/06 - OK</t>
        </is>
      </c>
      <c r="N10" s="59" t="n">
        <v>45826</v>
      </c>
    </row>
    <row r="11">
      <c r="A11" s="121" t="inlineStr">
        <is>
          <t>Caminhonete</t>
        </is>
      </c>
      <c r="B11" s="122" t="inlineStr">
        <is>
          <t>Hillux</t>
        </is>
      </c>
      <c r="C11" s="121" t="inlineStr">
        <is>
          <t>TN 73</t>
        </is>
      </c>
      <c r="D11" s="121" t="inlineStr">
        <is>
          <t>SINAL</t>
        </is>
      </c>
      <c r="E11" s="121" t="inlineStr">
        <is>
          <t>CKS</t>
        </is>
      </c>
      <c r="F11" s="121" t="inlineStr">
        <is>
          <t>TCD7H73</t>
        </is>
      </c>
      <c r="G11" s="121" t="inlineStr">
        <is>
          <t>CARAJÁS</t>
        </is>
      </c>
      <c r="H11" s="123" t="inlineStr">
        <is>
          <t>William</t>
        </is>
      </c>
      <c r="I11" s="88" t="n">
        <v>45821</v>
      </c>
      <c r="J11" s="125" t="n">
        <v>4393</v>
      </c>
      <c r="K11" s="125" t="n">
        <v>4507</v>
      </c>
      <c r="L11" s="126" t="n">
        <v>45820</v>
      </c>
      <c r="M11" s="137" t="inlineStr">
        <is>
          <t>12/06 - 11/06 - OK</t>
        </is>
      </c>
      <c r="N11" s="135" t="n">
        <v>45825</v>
      </c>
    </row>
    <row r="12">
      <c r="A12" s="115" t="inlineStr">
        <is>
          <t>Caminhonete</t>
        </is>
      </c>
      <c r="B12" s="116" t="inlineStr">
        <is>
          <t>NISSAN FRONTIER</t>
        </is>
      </c>
      <c r="C12" s="115" t="inlineStr">
        <is>
          <t>TN78</t>
        </is>
      </c>
      <c r="D12" s="115" t="inlineStr">
        <is>
          <t>SONDA</t>
        </is>
      </c>
      <c r="E12" s="115" t="inlineStr">
        <is>
          <t>CKS</t>
        </is>
      </c>
      <c r="F12" s="115" t="inlineStr">
        <is>
          <t xml:space="preserve">FZY4F28 </t>
        </is>
      </c>
      <c r="G12" s="115" t="inlineStr">
        <is>
          <t>CARAJÁS</t>
        </is>
      </c>
      <c r="H12" s="115" t="inlineStr">
        <is>
          <t>Ederson</t>
        </is>
      </c>
      <c r="I12" s="88" t="n">
        <v>45821</v>
      </c>
      <c r="J12" s="118" t="n">
        <v>92780</v>
      </c>
      <c r="K12" s="118" t="n">
        <v>93932</v>
      </c>
      <c r="L12" s="119" t="n">
        <v>45821</v>
      </c>
      <c r="M12" s="137" t="inlineStr">
        <is>
          <t>13/06 - 11/06 - OK</t>
        </is>
      </c>
      <c r="N12" s="59" t="n">
        <v>45825</v>
      </c>
    </row>
    <row r="13">
      <c r="A13" s="313" t="n"/>
      <c r="B13" s="321" t="n"/>
      <c r="C13" s="321" t="n"/>
      <c r="D13" s="321" t="n"/>
      <c r="E13" s="321" t="n"/>
      <c r="F13" s="321" t="n"/>
      <c r="G13" s="321" t="n"/>
      <c r="H13" s="321" t="n"/>
      <c r="I13" s="321" t="n"/>
      <c r="J13" s="321" t="n"/>
      <c r="K13" s="321" t="n"/>
      <c r="L13" s="321" t="n"/>
      <c r="M13" s="321" t="n"/>
      <c r="N13" s="321" t="n"/>
    </row>
    <row r="14">
      <c r="A14" s="82" t="inlineStr">
        <is>
          <t>Tipo</t>
        </is>
      </c>
      <c r="B14" s="82" t="inlineStr">
        <is>
          <t xml:space="preserve">Modelos </t>
        </is>
      </c>
      <c r="C14" s="82" t="inlineStr">
        <is>
          <t>Tag</t>
        </is>
      </c>
      <c r="D14" s="82" t="inlineStr">
        <is>
          <t>Locadora</t>
        </is>
      </c>
      <c r="E14" s="82" t="inlineStr">
        <is>
          <t>Localidade</t>
        </is>
      </c>
      <c r="F14" s="82" t="inlineStr">
        <is>
          <t>Placa</t>
        </is>
      </c>
      <c r="G14" s="82" t="inlineStr">
        <is>
          <t>SSO</t>
        </is>
      </c>
      <c r="H14" s="82" t="inlineStr">
        <is>
          <t>Condutores</t>
        </is>
      </c>
      <c r="I14" s="82" t="inlineStr">
        <is>
          <t>SEMANA 01</t>
        </is>
      </c>
      <c r="J14" s="82" t="n"/>
      <c r="K14" s="82" t="inlineStr">
        <is>
          <t xml:space="preserve">KM  </t>
        </is>
      </c>
      <c r="L14" s="82" t="n"/>
      <c r="M14" s="82" t="n"/>
      <c r="N14" s="85" t="inlineStr">
        <is>
          <t>Prox. Lavagem</t>
        </is>
      </c>
    </row>
    <row r="26" hidden="1"/>
  </sheetData>
  <mergeCells count="1">
    <mergeCell ref="A13:N13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O6" sqref="O6"/>
    </sheetView>
  </sheetViews>
  <sheetFormatPr baseColWidth="8" defaultRowHeight="14.3"/>
  <cols>
    <col width="20.5" bestFit="1" customWidth="1" min="1" max="1"/>
    <col width="17" bestFit="1" customWidth="1" min="2" max="2"/>
    <col width="11.625" bestFit="1" customWidth="1" min="9" max="9"/>
    <col width="11.125" bestFit="1" customWidth="1" min="11" max="11"/>
    <col width="15.375" bestFit="1" customWidth="1" min="12" max="12"/>
    <col width="23.375" bestFit="1" customWidth="1" min="13" max="13"/>
    <col width="14.375" bestFit="1" customWidth="1" min="14" max="14"/>
  </cols>
  <sheetData>
    <row r="1">
      <c r="A1" s="77" t="inlineStr">
        <is>
          <t xml:space="preserve">Veículos Cadastrados 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9" t="n"/>
      <c r="M1" s="80" t="n"/>
      <c r="N1" s="81" t="n"/>
    </row>
    <row r="2">
      <c r="A2" s="82" t="inlineStr">
        <is>
          <t>Tipo</t>
        </is>
      </c>
      <c r="B2" s="82" t="inlineStr">
        <is>
          <t xml:space="preserve">Modelos </t>
        </is>
      </c>
      <c r="C2" s="82" t="inlineStr">
        <is>
          <t>Tag</t>
        </is>
      </c>
      <c r="D2" s="82" t="inlineStr">
        <is>
          <t>Locadora</t>
        </is>
      </c>
      <c r="E2" s="82" t="inlineStr">
        <is>
          <t>Localidade</t>
        </is>
      </c>
      <c r="F2" s="82" t="inlineStr">
        <is>
          <t>Placa</t>
        </is>
      </c>
      <c r="G2" s="82" t="inlineStr">
        <is>
          <t>SSO</t>
        </is>
      </c>
      <c r="H2" s="82" t="inlineStr">
        <is>
          <t>Condutores</t>
        </is>
      </c>
      <c r="I2" s="82" t="inlineStr">
        <is>
          <t>SEMANA 03</t>
        </is>
      </c>
      <c r="J2" s="82" t="inlineStr">
        <is>
          <t>KM ANTERIOR</t>
        </is>
      </c>
      <c r="K2" s="82" t="inlineStr">
        <is>
          <t>KM  ATUAL</t>
        </is>
      </c>
      <c r="L2" s="83" t="inlineStr">
        <is>
          <t>Ultima lavagem</t>
        </is>
      </c>
      <c r="M2" s="84" t="inlineStr">
        <is>
          <t>lavagem programada S-1</t>
        </is>
      </c>
      <c r="N2" s="85" t="inlineStr">
        <is>
          <t>Prox. Lavagem</t>
        </is>
      </c>
    </row>
    <row r="3">
      <c r="A3" s="86" t="inlineStr">
        <is>
          <t>Caminhonete</t>
        </is>
      </c>
      <c r="B3" s="40" t="inlineStr">
        <is>
          <t>CHEVROLET S10</t>
        </is>
      </c>
      <c r="C3" s="86" t="inlineStr">
        <is>
          <t>TN 29</t>
        </is>
      </c>
      <c r="D3" s="86" t="inlineStr">
        <is>
          <t>Sonda</t>
        </is>
      </c>
      <c r="E3" s="86" t="inlineStr">
        <is>
          <t>CKS</t>
        </is>
      </c>
      <c r="F3" s="86" t="inlineStr">
        <is>
          <t>FXR0F35</t>
        </is>
      </c>
      <c r="G3" s="86" t="inlineStr">
        <is>
          <t>CARAJÁS</t>
        </is>
      </c>
      <c r="H3" s="87" t="inlineStr">
        <is>
          <t>JOÃO TAVARES</t>
        </is>
      </c>
      <c r="I3" s="88" t="n">
        <v>45826</v>
      </c>
      <c r="J3" s="89" t="n">
        <v>159559</v>
      </c>
      <c r="K3" s="89" t="n">
        <v>160125</v>
      </c>
      <c r="L3" s="90" t="n">
        <v>45825</v>
      </c>
      <c r="M3" s="137" t="inlineStr">
        <is>
          <t>17/06 - 16/06 - ok</t>
        </is>
      </c>
      <c r="N3" s="59" t="n">
        <v>45835</v>
      </c>
    </row>
    <row r="4">
      <c r="A4" s="86" t="inlineStr">
        <is>
          <t>Caminhonete</t>
        </is>
      </c>
      <c r="B4" s="40" t="inlineStr">
        <is>
          <t>Hillux</t>
        </is>
      </c>
      <c r="C4" s="86" t="inlineStr">
        <is>
          <t>TN 31</t>
        </is>
      </c>
      <c r="D4" s="86" t="inlineStr">
        <is>
          <t>SINAL</t>
        </is>
      </c>
      <c r="E4" s="86" t="inlineStr">
        <is>
          <t>CKS</t>
        </is>
      </c>
      <c r="F4" s="86" t="inlineStr">
        <is>
          <t>TCD7I68</t>
        </is>
      </c>
      <c r="G4" s="86" t="inlineStr">
        <is>
          <t>CARAJÁS</t>
        </is>
      </c>
      <c r="H4" s="87" t="inlineStr">
        <is>
          <t>Lucas</t>
        </is>
      </c>
      <c r="I4" s="88" t="n">
        <v>45826</v>
      </c>
      <c r="J4" s="89" t="n">
        <v>18113</v>
      </c>
      <c r="K4" s="89" t="n">
        <v>18286</v>
      </c>
      <c r="L4" s="90" t="n">
        <v>45822</v>
      </c>
      <c r="M4" s="137" t="inlineStr">
        <is>
          <t>14/06 - 14/06 - ok</t>
        </is>
      </c>
      <c r="N4" s="59" t="n">
        <v>45828</v>
      </c>
    </row>
    <row r="5">
      <c r="A5" s="86" t="inlineStr">
        <is>
          <t>Caminhonete</t>
        </is>
      </c>
      <c r="B5" s="40" t="inlineStr">
        <is>
          <t xml:space="preserve">FORD RANGER </t>
        </is>
      </c>
      <c r="C5" s="86" t="inlineStr">
        <is>
          <t>TN 72</t>
        </is>
      </c>
      <c r="D5" s="86" t="inlineStr">
        <is>
          <t>Sonda</t>
        </is>
      </c>
      <c r="E5" s="86" t="inlineStr">
        <is>
          <t>CKS</t>
        </is>
      </c>
      <c r="F5" s="86" t="inlineStr">
        <is>
          <t>FXD9A18</t>
        </is>
      </c>
      <c r="G5" s="86" t="inlineStr">
        <is>
          <t>CARAJÁS</t>
        </is>
      </c>
      <c r="H5" s="87" t="inlineStr">
        <is>
          <t>RAIMUNDO CHARLES</t>
        </is>
      </c>
      <c r="I5" s="88" t="n">
        <v>45826</v>
      </c>
      <c r="J5" s="89" t="n">
        <v>94867</v>
      </c>
      <c r="K5" s="89" t="n"/>
      <c r="L5" s="119" t="n">
        <v>45821</v>
      </c>
      <c r="M5" s="140" t="inlineStr">
        <is>
          <t>pendente</t>
        </is>
      </c>
      <c r="N5" s="135" t="n">
        <v>45833</v>
      </c>
    </row>
    <row r="6">
      <c r="A6" s="86" t="inlineStr">
        <is>
          <t>Caminhonete</t>
        </is>
      </c>
      <c r="B6" s="40" t="inlineStr">
        <is>
          <t>Hillux</t>
        </is>
      </c>
      <c r="C6" s="86" t="inlineStr">
        <is>
          <t>TN 03</t>
        </is>
      </c>
      <c r="D6" s="86" t="inlineStr">
        <is>
          <t>SINAL</t>
        </is>
      </c>
      <c r="E6" s="86" t="inlineStr">
        <is>
          <t>CKS</t>
        </is>
      </c>
      <c r="F6" s="86" t="inlineStr">
        <is>
          <t>TCD7H75</t>
        </is>
      </c>
      <c r="G6" s="86" t="inlineStr">
        <is>
          <t>CARAJÁS</t>
        </is>
      </c>
      <c r="H6" s="87" t="inlineStr">
        <is>
          <t>Lucas</t>
        </is>
      </c>
      <c r="I6" s="88" t="n">
        <v>45826</v>
      </c>
      <c r="J6" s="89" t="n">
        <v>16491</v>
      </c>
      <c r="K6" s="89" t="n"/>
      <c r="L6" s="90" t="n">
        <v>45804</v>
      </c>
      <c r="M6" s="140" t="inlineStr">
        <is>
          <t>pendente</t>
        </is>
      </c>
      <c r="N6" s="135" t="n">
        <v>45831</v>
      </c>
    </row>
    <row r="7">
      <c r="A7" s="100" t="inlineStr">
        <is>
          <t>Caminhonete</t>
        </is>
      </c>
      <c r="B7" s="41" t="inlineStr">
        <is>
          <t>NISSAN FRONTIER</t>
        </is>
      </c>
      <c r="C7" s="100" t="inlineStr">
        <is>
          <t>TN 76</t>
        </is>
      </c>
      <c r="D7" s="100" t="inlineStr">
        <is>
          <t>SINAL</t>
        </is>
      </c>
      <c r="E7" s="100" t="inlineStr">
        <is>
          <t>CKS</t>
        </is>
      </c>
      <c r="F7" s="100" t="inlineStr">
        <is>
          <t>TCD7H72</t>
        </is>
      </c>
      <c r="G7" s="100" t="inlineStr">
        <is>
          <t>CARAJÁS</t>
        </is>
      </c>
      <c r="H7" s="101" t="inlineStr">
        <is>
          <t>Renan</t>
        </is>
      </c>
      <c r="I7" s="88" t="n">
        <v>45826</v>
      </c>
      <c r="J7" s="102" t="n">
        <v>11459</v>
      </c>
      <c r="K7" s="102" t="n">
        <v>11674</v>
      </c>
      <c r="L7" s="104" t="n">
        <v>45804</v>
      </c>
      <c r="M7" s="140" t="inlineStr">
        <is>
          <t>pendente</t>
        </is>
      </c>
      <c r="N7" s="59" t="n">
        <v>45831</v>
      </c>
    </row>
    <row r="8">
      <c r="A8" s="100" t="inlineStr">
        <is>
          <t>Caminhonete</t>
        </is>
      </c>
      <c r="B8" s="41" t="inlineStr">
        <is>
          <t>HILLUX</t>
        </is>
      </c>
      <c r="C8" s="100" t="inlineStr">
        <is>
          <t>TN 04</t>
        </is>
      </c>
      <c r="D8" s="100" t="inlineStr">
        <is>
          <t>SINAL</t>
        </is>
      </c>
      <c r="E8" s="100" t="inlineStr">
        <is>
          <t>CKS</t>
        </is>
      </c>
      <c r="F8" s="100" t="inlineStr">
        <is>
          <t>TDM2E37</t>
        </is>
      </c>
      <c r="G8" s="100" t="inlineStr">
        <is>
          <t>CARAJÁS</t>
        </is>
      </c>
      <c r="H8" s="101" t="inlineStr">
        <is>
          <t>MATHEUS</t>
        </is>
      </c>
      <c r="I8" s="88" t="n">
        <v>45826</v>
      </c>
      <c r="J8" s="102" t="n">
        <v>7788</v>
      </c>
      <c r="K8" s="102" t="n"/>
      <c r="L8" s="104" t="n">
        <v>45815</v>
      </c>
      <c r="M8" s="140" t="inlineStr">
        <is>
          <t>pendente</t>
        </is>
      </c>
      <c r="N8" s="59" t="n">
        <v>45829</v>
      </c>
    </row>
    <row r="9">
      <c r="A9" s="100" t="inlineStr">
        <is>
          <t>Leve</t>
        </is>
      </c>
      <c r="B9" s="41" t="inlineStr">
        <is>
          <t>Tracker</t>
        </is>
      </c>
      <c r="C9" s="100" t="inlineStr">
        <is>
          <t>TN 01</t>
        </is>
      </c>
      <c r="D9" s="100" t="inlineStr">
        <is>
          <t>Localiza</t>
        </is>
      </c>
      <c r="E9" s="100" t="inlineStr">
        <is>
          <t>CKS</t>
        </is>
      </c>
      <c r="F9" s="100" t="inlineStr">
        <is>
          <t>TCO2C15</t>
        </is>
      </c>
      <c r="G9" s="100" t="inlineStr">
        <is>
          <t>CARAJÁS</t>
        </is>
      </c>
      <c r="H9" s="101" t="inlineStr">
        <is>
          <t>Fabricio Maia</t>
        </is>
      </c>
      <c r="I9" s="88" t="n">
        <v>45826</v>
      </c>
      <c r="J9" s="102" t="n">
        <v>16468</v>
      </c>
      <c r="K9" s="102" t="n"/>
      <c r="L9" s="104" t="n">
        <v>45826</v>
      </c>
      <c r="M9" s="137" t="inlineStr">
        <is>
          <t>ok</t>
        </is>
      </c>
      <c r="N9" s="58" t="inlineStr">
        <is>
          <t> </t>
        </is>
      </c>
    </row>
    <row r="10">
      <c r="A10" s="100" t="inlineStr">
        <is>
          <t>Caminhonete</t>
        </is>
      </c>
      <c r="B10" s="41" t="inlineStr">
        <is>
          <t>Ranger</t>
        </is>
      </c>
      <c r="C10" s="100" t="inlineStr">
        <is>
          <t>TN 74</t>
        </is>
      </c>
      <c r="D10" s="100" t="inlineStr">
        <is>
          <t>SONDA</t>
        </is>
      </c>
      <c r="E10" s="100" t="inlineStr">
        <is>
          <t>CKS</t>
        </is>
      </c>
      <c r="F10" s="100" t="inlineStr">
        <is>
          <t>RDM2E33</t>
        </is>
      </c>
      <c r="G10" s="100" t="inlineStr">
        <is>
          <t>CARAJÁS</t>
        </is>
      </c>
      <c r="H10" s="101" t="inlineStr">
        <is>
          <t>Ederson</t>
        </is>
      </c>
      <c r="I10" s="88" t="n">
        <v>45826</v>
      </c>
      <c r="J10" s="125" t="n">
        <v>9054</v>
      </c>
      <c r="K10" s="125" t="n">
        <v>9258</v>
      </c>
      <c r="L10" s="104" t="n">
        <v>45820</v>
      </c>
      <c r="M10" s="140" t="inlineStr">
        <is>
          <t>pendente</t>
        </is>
      </c>
      <c r="N10" s="59" t="n">
        <v>45831</v>
      </c>
    </row>
    <row r="11">
      <c r="A11" s="121" t="inlineStr">
        <is>
          <t>Caminhonete</t>
        </is>
      </c>
      <c r="B11" s="122" t="inlineStr">
        <is>
          <t>Hillux</t>
        </is>
      </c>
      <c r="C11" s="121" t="inlineStr">
        <is>
          <t>TN 73</t>
        </is>
      </c>
      <c r="D11" s="121" t="inlineStr">
        <is>
          <t>SINAL</t>
        </is>
      </c>
      <c r="E11" s="121" t="inlineStr">
        <is>
          <t>CKS</t>
        </is>
      </c>
      <c r="F11" s="121" t="inlineStr">
        <is>
          <t>TCD7H73</t>
        </is>
      </c>
      <c r="G11" s="121" t="inlineStr">
        <is>
          <t>CARAJÁS</t>
        </is>
      </c>
      <c r="H11" s="123" t="inlineStr">
        <is>
          <t>William</t>
        </is>
      </c>
      <c r="I11" s="88" t="n">
        <v>45826</v>
      </c>
      <c r="J11" s="125" t="n">
        <v>4507</v>
      </c>
      <c r="K11" s="125" t="n">
        <v>4714</v>
      </c>
      <c r="L11" s="126" t="n">
        <v>45824</v>
      </c>
      <c r="M11" s="137" t="inlineStr">
        <is>
          <t>16/06 - 17/06  OK</t>
        </is>
      </c>
      <c r="N11" s="135" t="n">
        <v>45832</v>
      </c>
    </row>
    <row r="12">
      <c r="A12" s="115" t="inlineStr">
        <is>
          <t>Caminhonete</t>
        </is>
      </c>
      <c r="B12" s="116" t="inlineStr">
        <is>
          <t>NISSAN FRONTIER</t>
        </is>
      </c>
      <c r="C12" s="115" t="inlineStr">
        <is>
          <t>TN78</t>
        </is>
      </c>
      <c r="D12" s="115" t="inlineStr">
        <is>
          <t>SONDA</t>
        </is>
      </c>
      <c r="E12" s="115" t="inlineStr">
        <is>
          <t>CKS</t>
        </is>
      </c>
      <c r="F12" s="115" t="inlineStr">
        <is>
          <t xml:space="preserve">FZY4F28 </t>
        </is>
      </c>
      <c r="G12" s="115" t="inlineStr">
        <is>
          <t>CARAJÁS</t>
        </is>
      </c>
      <c r="H12" s="115" t="inlineStr">
        <is>
          <t>Ederson</t>
        </is>
      </c>
      <c r="I12" s="88" t="n">
        <v>45826</v>
      </c>
      <c r="J12" s="118" t="n">
        <v>93932</v>
      </c>
      <c r="K12" s="118" t="n">
        <v>94577</v>
      </c>
      <c r="L12" s="119" t="n">
        <v>45821</v>
      </c>
      <c r="M12" s="140" t="inlineStr">
        <is>
          <t>pendente</t>
        </is>
      </c>
      <c r="N12" s="59" t="n">
        <v>45832</v>
      </c>
    </row>
    <row r="13">
      <c r="A13" s="313" t="n"/>
      <c r="B13" s="321" t="n"/>
      <c r="C13" s="321" t="n"/>
      <c r="D13" s="321" t="n"/>
      <c r="E13" s="321" t="n"/>
      <c r="F13" s="321" t="n"/>
      <c r="G13" s="321" t="n"/>
      <c r="H13" s="321" t="n"/>
      <c r="I13" s="321" t="n"/>
      <c r="J13" s="321" t="n"/>
      <c r="K13" s="321" t="n"/>
      <c r="L13" s="321" t="n"/>
      <c r="M13" s="321" t="n"/>
      <c r="N13" s="321" t="n"/>
    </row>
    <row r="14">
      <c r="A14" s="82" t="inlineStr">
        <is>
          <t>Tipo</t>
        </is>
      </c>
      <c r="B14" s="82" t="inlineStr">
        <is>
          <t xml:space="preserve">Modelos </t>
        </is>
      </c>
      <c r="C14" s="82" t="inlineStr">
        <is>
          <t>Tag</t>
        </is>
      </c>
      <c r="D14" s="82" t="inlineStr">
        <is>
          <t>Locadora</t>
        </is>
      </c>
      <c r="E14" s="82" t="inlineStr">
        <is>
          <t>Localidade</t>
        </is>
      </c>
      <c r="F14" s="82" t="inlineStr">
        <is>
          <t>Placa</t>
        </is>
      </c>
      <c r="G14" s="82" t="inlineStr">
        <is>
          <t>SSO</t>
        </is>
      </c>
      <c r="H14" s="82" t="inlineStr">
        <is>
          <t>Condutores</t>
        </is>
      </c>
      <c r="I14" s="82" t="inlineStr">
        <is>
          <t>SEMANA 01</t>
        </is>
      </c>
      <c r="J14" s="82" t="n"/>
      <c r="K14" s="82" t="inlineStr">
        <is>
          <t xml:space="preserve">KM  </t>
        </is>
      </c>
      <c r="L14" s="82" t="n"/>
      <c r="M14" s="82" t="n"/>
      <c r="N14" s="85" t="inlineStr">
        <is>
          <t>Prox. Lavagem</t>
        </is>
      </c>
    </row>
    <row r="15"/>
    <row r="16"/>
    <row r="17"/>
    <row r="18">
      <c r="F18" s="316" t="inlineStr">
        <is>
          <t>TN72 manutenção desde 16/06</t>
        </is>
      </c>
    </row>
  </sheetData>
  <mergeCells count="2">
    <mergeCell ref="F18:H18"/>
    <mergeCell ref="A13:N13"/>
  </mergeCell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N14" sqref="N14"/>
    </sheetView>
  </sheetViews>
  <sheetFormatPr baseColWidth="8" defaultRowHeight="14.3"/>
  <cols>
    <col width="11.625" bestFit="1" customWidth="1" min="9" max="9"/>
    <col width="11.875" customWidth="1" min="11" max="11"/>
    <col width="15.375" bestFit="1" customWidth="1" min="12" max="12"/>
    <col width="23.375" bestFit="1" customWidth="1" min="13" max="13"/>
    <col width="14.375" bestFit="1" customWidth="1" min="14" max="14"/>
  </cols>
  <sheetData>
    <row r="1">
      <c r="A1" s="77" t="inlineStr">
        <is>
          <t xml:space="preserve">Veículos Cadastrados 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9" t="n"/>
      <c r="M1" s="80" t="n"/>
      <c r="N1" s="81" t="n"/>
    </row>
    <row r="2">
      <c r="A2" s="82" t="inlineStr">
        <is>
          <t>Tipo</t>
        </is>
      </c>
      <c r="B2" s="82" t="inlineStr">
        <is>
          <t xml:space="preserve">Modelos </t>
        </is>
      </c>
      <c r="C2" s="82" t="inlineStr">
        <is>
          <t>Tag</t>
        </is>
      </c>
      <c r="D2" s="82" t="inlineStr">
        <is>
          <t>Locadora</t>
        </is>
      </c>
      <c r="E2" s="82" t="inlineStr">
        <is>
          <t>Localidade</t>
        </is>
      </c>
      <c r="F2" s="82" t="inlineStr">
        <is>
          <t>Placa</t>
        </is>
      </c>
      <c r="G2" s="82" t="inlineStr">
        <is>
          <t>SSO</t>
        </is>
      </c>
      <c r="H2" s="82" t="inlineStr">
        <is>
          <t>Condutores</t>
        </is>
      </c>
      <c r="I2" s="82" t="inlineStr">
        <is>
          <t>SEMANA 04</t>
        </is>
      </c>
      <c r="J2" s="82" t="inlineStr">
        <is>
          <t>KM ANTERIOR</t>
        </is>
      </c>
      <c r="K2" s="82" t="inlineStr">
        <is>
          <t>KM  ATUAL</t>
        </is>
      </c>
      <c r="L2" s="83" t="inlineStr">
        <is>
          <t>Ultima lavagem</t>
        </is>
      </c>
      <c r="M2" s="84" t="inlineStr">
        <is>
          <t>lavagem programada S-1</t>
        </is>
      </c>
      <c r="N2" s="85" t="inlineStr">
        <is>
          <t>Prox. Lavagem</t>
        </is>
      </c>
    </row>
    <row r="3">
      <c r="A3" s="86" t="inlineStr">
        <is>
          <t>Caminhonete</t>
        </is>
      </c>
      <c r="B3" s="40" t="inlineStr">
        <is>
          <t>CHEVROLET S10</t>
        </is>
      </c>
      <c r="C3" s="86" t="inlineStr">
        <is>
          <t>TN 29</t>
        </is>
      </c>
      <c r="D3" s="86" t="inlineStr">
        <is>
          <t>Sonda</t>
        </is>
      </c>
      <c r="E3" s="86" t="inlineStr">
        <is>
          <t>CKS</t>
        </is>
      </c>
      <c r="F3" s="86" t="inlineStr">
        <is>
          <t>FXR0F35</t>
        </is>
      </c>
      <c r="G3" s="86" t="inlineStr">
        <is>
          <t>CARAJÁS</t>
        </is>
      </c>
      <c r="H3" s="87" t="inlineStr">
        <is>
          <t>JOÃO TAVARES</t>
        </is>
      </c>
      <c r="I3" s="88" t="n">
        <v>45835</v>
      </c>
      <c r="J3" s="89" t="n">
        <v>160125</v>
      </c>
      <c r="K3" s="89" t="n"/>
      <c r="L3" s="90" t="n">
        <v>45825</v>
      </c>
      <c r="M3" s="137" t="n"/>
      <c r="N3" s="59" t="n">
        <v>45838</v>
      </c>
    </row>
    <row r="4">
      <c r="A4" s="86" t="inlineStr">
        <is>
          <t>Caminhonete</t>
        </is>
      </c>
      <c r="B4" s="40" t="inlineStr">
        <is>
          <t>Hillux</t>
        </is>
      </c>
      <c r="C4" s="86" t="inlineStr">
        <is>
          <t>TN 31</t>
        </is>
      </c>
      <c r="D4" s="86" t="inlineStr">
        <is>
          <t>SINAL</t>
        </is>
      </c>
      <c r="E4" s="86" t="inlineStr">
        <is>
          <t>CKS</t>
        </is>
      </c>
      <c r="F4" s="86" t="inlineStr">
        <is>
          <t>TCD7I68</t>
        </is>
      </c>
      <c r="G4" s="86" t="inlineStr">
        <is>
          <t>CARAJÁS</t>
        </is>
      </c>
      <c r="H4" s="87" t="inlineStr">
        <is>
          <t>Lucas</t>
        </is>
      </c>
      <c r="I4" s="88" t="n">
        <v>45835</v>
      </c>
      <c r="J4" s="89" t="n">
        <v>18286</v>
      </c>
      <c r="K4" s="89" t="n">
        <v>19058</v>
      </c>
      <c r="L4" s="90" t="n">
        <v>45830</v>
      </c>
      <c r="M4" s="137" t="inlineStr">
        <is>
          <t>22/06 - 20/06</t>
        </is>
      </c>
      <c r="N4" s="59" t="n">
        <v>45836</v>
      </c>
    </row>
    <row r="5">
      <c r="A5" s="86" t="inlineStr">
        <is>
          <t>Caminhonete</t>
        </is>
      </c>
      <c r="B5" s="40" t="inlineStr">
        <is>
          <t xml:space="preserve">FORD RANGER </t>
        </is>
      </c>
      <c r="C5" s="86" t="inlineStr">
        <is>
          <t>TN 72</t>
        </is>
      </c>
      <c r="D5" s="86" t="inlineStr">
        <is>
          <t>Sonda</t>
        </is>
      </c>
      <c r="E5" s="86" t="inlineStr">
        <is>
          <t>CKS</t>
        </is>
      </c>
      <c r="F5" s="86" t="inlineStr">
        <is>
          <t>FXD9A18</t>
        </is>
      </c>
      <c r="G5" s="86" t="inlineStr">
        <is>
          <t>CARAJÁS</t>
        </is>
      </c>
      <c r="H5" s="87" t="inlineStr">
        <is>
          <t>RAIMUNDO CHARLES</t>
        </is>
      </c>
      <c r="I5" s="88" t="n">
        <v>45835</v>
      </c>
      <c r="J5" s="89" t="n">
        <v>94867</v>
      </c>
      <c r="K5" s="89" t="n">
        <v>96041</v>
      </c>
      <c r="L5" s="119" t="n">
        <v>45821</v>
      </c>
      <c r="M5" s="140" t="inlineStr">
        <is>
          <t>pendente</t>
        </is>
      </c>
      <c r="N5" s="135" t="n">
        <v>45838</v>
      </c>
    </row>
    <row r="6">
      <c r="A6" s="86" t="inlineStr">
        <is>
          <t>Caminhonete</t>
        </is>
      </c>
      <c r="B6" s="40" t="inlineStr">
        <is>
          <t>Hillux</t>
        </is>
      </c>
      <c r="C6" s="86" t="inlineStr">
        <is>
          <t>TN 03</t>
        </is>
      </c>
      <c r="D6" s="86" t="inlineStr">
        <is>
          <t>SINAL</t>
        </is>
      </c>
      <c r="E6" s="86" t="inlineStr">
        <is>
          <t>CKS</t>
        </is>
      </c>
      <c r="F6" s="86" t="inlineStr">
        <is>
          <t>TCD7H75</t>
        </is>
      </c>
      <c r="G6" s="86" t="inlineStr">
        <is>
          <t>CARAJÁS</t>
        </is>
      </c>
      <c r="H6" s="87" t="inlineStr">
        <is>
          <t>Lucas</t>
        </is>
      </c>
      <c r="I6" s="88" t="n">
        <v>45835</v>
      </c>
      <c r="J6" s="89" t="n">
        <v>16491</v>
      </c>
      <c r="K6" s="89" t="n">
        <v>17195</v>
      </c>
      <c r="L6" s="126" t="n">
        <v>45829</v>
      </c>
      <c r="M6" s="137" t="inlineStr">
        <is>
          <t>21/06 - 23/06 ok</t>
        </is>
      </c>
      <c r="N6" s="135" t="n">
        <v>45836</v>
      </c>
    </row>
    <row r="7">
      <c r="A7" s="100" t="inlineStr">
        <is>
          <t>Caminhonete</t>
        </is>
      </c>
      <c r="B7" s="41" t="inlineStr">
        <is>
          <t>NISSAN FRONTIER</t>
        </is>
      </c>
      <c r="C7" s="100" t="inlineStr">
        <is>
          <t>TN 76</t>
        </is>
      </c>
      <c r="D7" s="100" t="inlineStr">
        <is>
          <t>SINAL</t>
        </is>
      </c>
      <c r="E7" s="100" t="inlineStr">
        <is>
          <t>CKS</t>
        </is>
      </c>
      <c r="F7" s="100" t="inlineStr">
        <is>
          <t>TCD7H72</t>
        </is>
      </c>
      <c r="G7" s="100" t="inlineStr">
        <is>
          <t>CARAJÁS</t>
        </is>
      </c>
      <c r="H7" s="101" t="inlineStr">
        <is>
          <t>Renan</t>
        </is>
      </c>
      <c r="I7" s="88" t="n">
        <v>45835</v>
      </c>
      <c r="J7" s="102" t="n">
        <v>11674</v>
      </c>
      <c r="K7" s="102" t="n">
        <v>12132</v>
      </c>
      <c r="L7" s="104" t="n">
        <v>45834</v>
      </c>
      <c r="M7" s="137" t="inlineStr">
        <is>
          <t>26/06 - 23/06 - ok</t>
        </is>
      </c>
      <c r="N7" s="59" t="n">
        <v>45841</v>
      </c>
    </row>
    <row r="8">
      <c r="A8" s="100" t="inlineStr">
        <is>
          <t>Caminhonete</t>
        </is>
      </c>
      <c r="B8" s="41" t="inlineStr">
        <is>
          <t>HILLUX</t>
        </is>
      </c>
      <c r="C8" s="100" t="inlineStr">
        <is>
          <t>TN 04</t>
        </is>
      </c>
      <c r="D8" s="100" t="inlineStr">
        <is>
          <t>SINAL</t>
        </is>
      </c>
      <c r="E8" s="100" t="inlineStr">
        <is>
          <t>CKS</t>
        </is>
      </c>
      <c r="F8" s="100" t="inlineStr">
        <is>
          <t>TDM2E37</t>
        </is>
      </c>
      <c r="G8" s="100" t="inlineStr">
        <is>
          <t>CARAJÁS</t>
        </is>
      </c>
      <c r="H8" s="101" t="inlineStr">
        <is>
          <t>MATHEUS</t>
        </is>
      </c>
      <c r="I8" s="88" t="n">
        <v>45835</v>
      </c>
      <c r="J8" s="102" t="n">
        <v>7788</v>
      </c>
      <c r="K8" s="102" t="n">
        <v>8520</v>
      </c>
      <c r="L8" s="104" t="n">
        <v>45815</v>
      </c>
      <c r="M8" s="140" t="inlineStr">
        <is>
          <t>pendente</t>
        </is>
      </c>
      <c r="N8" s="59" t="n">
        <v>45838</v>
      </c>
    </row>
    <row r="9">
      <c r="A9" s="100" t="inlineStr">
        <is>
          <t>Leve</t>
        </is>
      </c>
      <c r="B9" s="41" t="inlineStr">
        <is>
          <t>Tracker</t>
        </is>
      </c>
      <c r="C9" s="100" t="inlineStr">
        <is>
          <t>TN 01</t>
        </is>
      </c>
      <c r="D9" s="100" t="inlineStr">
        <is>
          <t>Localiza</t>
        </is>
      </c>
      <c r="E9" s="100" t="inlineStr">
        <is>
          <t>CKS</t>
        </is>
      </c>
      <c r="F9" s="100" t="inlineStr">
        <is>
          <t>TCO2C15</t>
        </is>
      </c>
      <c r="G9" s="100" t="inlineStr">
        <is>
          <t>CARAJÁS</t>
        </is>
      </c>
      <c r="H9" s="101" t="inlineStr">
        <is>
          <t>Fabricio Maia</t>
        </is>
      </c>
      <c r="I9" s="88" t="n">
        <v>45835</v>
      </c>
      <c r="J9" s="102" t="n">
        <v>16468</v>
      </c>
      <c r="K9" s="102" t="n">
        <v>16944</v>
      </c>
      <c r="L9" s="104" t="n">
        <v>45826</v>
      </c>
      <c r="M9" s="137" t="n"/>
      <c r="N9" s="58" t="inlineStr">
        <is>
          <t> </t>
        </is>
      </c>
    </row>
    <row r="10">
      <c r="A10" s="100" t="inlineStr">
        <is>
          <t>Caminhonete</t>
        </is>
      </c>
      <c r="B10" s="41" t="inlineStr">
        <is>
          <t>Ranger</t>
        </is>
      </c>
      <c r="C10" s="100" t="inlineStr">
        <is>
          <t>TN 74</t>
        </is>
      </c>
      <c r="D10" s="100" t="inlineStr">
        <is>
          <t>SONDA</t>
        </is>
      </c>
      <c r="E10" s="100" t="inlineStr">
        <is>
          <t>CKS</t>
        </is>
      </c>
      <c r="F10" s="100" t="inlineStr">
        <is>
          <t>RDM2E33</t>
        </is>
      </c>
      <c r="G10" s="100" t="inlineStr">
        <is>
          <t>CARAJÁS</t>
        </is>
      </c>
      <c r="H10" s="101" t="inlineStr">
        <is>
          <t>Ederson</t>
        </is>
      </c>
      <c r="I10" s="88" t="n">
        <v>45835</v>
      </c>
      <c r="J10" s="125" t="n">
        <v>9258</v>
      </c>
      <c r="K10" s="125" t="n"/>
      <c r="L10" s="104" t="n">
        <v>45820</v>
      </c>
      <c r="M10" s="140" t="inlineStr">
        <is>
          <t>pendente</t>
        </is>
      </c>
      <c r="N10" s="59" t="n">
        <v>45838</v>
      </c>
    </row>
    <row r="11">
      <c r="A11" s="121" t="inlineStr">
        <is>
          <t>Caminhonete</t>
        </is>
      </c>
      <c r="B11" s="122" t="inlineStr">
        <is>
          <t>Hillux</t>
        </is>
      </c>
      <c r="C11" s="121" t="inlineStr">
        <is>
          <t>TN 73</t>
        </is>
      </c>
      <c r="D11" s="121" t="inlineStr">
        <is>
          <t>SINAL</t>
        </is>
      </c>
      <c r="E11" s="121" t="inlineStr">
        <is>
          <t>CKS</t>
        </is>
      </c>
      <c r="F11" s="121" t="inlineStr">
        <is>
          <t>TCD7H73</t>
        </is>
      </c>
      <c r="G11" s="121" t="inlineStr">
        <is>
          <t>CARAJÁS</t>
        </is>
      </c>
      <c r="H11" s="123" t="inlineStr">
        <is>
          <t>William</t>
        </is>
      </c>
      <c r="I11" s="88" t="n">
        <v>45835</v>
      </c>
      <c r="J11" s="125" t="n">
        <v>4714</v>
      </c>
      <c r="K11" s="125" t="n">
        <v>5411</v>
      </c>
      <c r="L11" s="126" t="n">
        <v>45835</v>
      </c>
      <c r="M11" s="137" t="inlineStr">
        <is>
          <t>21/06 - 24/06 ok</t>
        </is>
      </c>
      <c r="N11" s="135" t="n">
        <v>45842</v>
      </c>
    </row>
    <row r="12">
      <c r="A12" s="115" t="inlineStr">
        <is>
          <t>Caminhonete</t>
        </is>
      </c>
      <c r="B12" s="116" t="inlineStr">
        <is>
          <t>NISSAN FRONTIER</t>
        </is>
      </c>
      <c r="C12" s="115" t="inlineStr">
        <is>
          <t>TN78</t>
        </is>
      </c>
      <c r="D12" s="115" t="inlineStr">
        <is>
          <t>SONDA</t>
        </is>
      </c>
      <c r="E12" s="115" t="inlineStr">
        <is>
          <t>CKS</t>
        </is>
      </c>
      <c r="F12" s="115" t="inlineStr">
        <is>
          <t xml:space="preserve">FZY4F28 </t>
        </is>
      </c>
      <c r="G12" s="115" t="inlineStr">
        <is>
          <t>CARAJÁS</t>
        </is>
      </c>
      <c r="H12" s="115" t="inlineStr">
        <is>
          <t>Ederson</t>
        </is>
      </c>
      <c r="I12" s="88" t="n">
        <v>45835</v>
      </c>
      <c r="J12" s="118" t="n">
        <v>94577</v>
      </c>
      <c r="K12" s="118" t="n">
        <v>95575</v>
      </c>
      <c r="L12" s="119" t="n">
        <v>45834</v>
      </c>
      <c r="M12" s="137" t="inlineStr">
        <is>
          <t>26/06 - 24/06 - OK</t>
        </is>
      </c>
      <c r="N12" s="59" t="n">
        <v>45840</v>
      </c>
    </row>
    <row r="13">
      <c r="A13" s="313" t="n"/>
      <c r="B13" s="321" t="n"/>
      <c r="C13" s="321" t="n"/>
      <c r="D13" s="321" t="n"/>
      <c r="E13" s="321" t="n"/>
      <c r="F13" s="321" t="n"/>
      <c r="G13" s="321" t="n"/>
      <c r="H13" s="321" t="n"/>
      <c r="I13" s="321" t="n"/>
      <c r="J13" s="321" t="n"/>
      <c r="K13" s="321" t="n"/>
      <c r="L13" s="321" t="n"/>
      <c r="M13" s="321" t="n"/>
      <c r="N13" s="321" t="n"/>
    </row>
    <row r="14">
      <c r="A14" s="82" t="inlineStr">
        <is>
          <t>Tipo</t>
        </is>
      </c>
      <c r="B14" s="82" t="inlineStr">
        <is>
          <t xml:space="preserve">Modelos </t>
        </is>
      </c>
      <c r="C14" s="82" t="inlineStr">
        <is>
          <t>Tag</t>
        </is>
      </c>
      <c r="D14" s="82" t="inlineStr">
        <is>
          <t>Locadora</t>
        </is>
      </c>
      <c r="E14" s="82" t="inlineStr">
        <is>
          <t>Localidade</t>
        </is>
      </c>
      <c r="F14" s="82" t="inlineStr">
        <is>
          <t>Placa</t>
        </is>
      </c>
      <c r="G14" s="82" t="inlineStr">
        <is>
          <t>SSO</t>
        </is>
      </c>
      <c r="H14" s="82" t="inlineStr">
        <is>
          <t>Condutores</t>
        </is>
      </c>
      <c r="I14" s="82" t="inlineStr">
        <is>
          <t>SEMANA 01</t>
        </is>
      </c>
      <c r="J14" s="82" t="n"/>
      <c r="K14" s="82" t="inlineStr">
        <is>
          <t xml:space="preserve">KM  </t>
        </is>
      </c>
      <c r="L14" s="82" t="n"/>
      <c r="M14" s="82" t="n"/>
      <c r="N14" s="85" t="inlineStr">
        <is>
          <t>Prox. Lavagem</t>
        </is>
      </c>
    </row>
    <row r="15"/>
    <row r="16">
      <c r="G16" s="315" t="inlineStr">
        <is>
          <t>TN74, TN29 em manutenção</t>
        </is>
      </c>
      <c r="H16" s="323" t="n"/>
      <c r="I16" s="323" t="n"/>
      <c r="J16" s="323" t="n"/>
      <c r="K16" s="324" t="n"/>
    </row>
    <row r="17"/>
    <row r="18"/>
    <row r="19"/>
    <row r="20">
      <c r="H20" s="115" t="n"/>
      <c r="I20" s="141" t="n"/>
    </row>
    <row r="21">
      <c r="H21" s="115" t="n"/>
      <c r="I21" s="141" t="n"/>
    </row>
    <row r="22">
      <c r="H22" s="115" t="n"/>
      <c r="I22" s="141" t="n"/>
    </row>
    <row r="23">
      <c r="H23" s="115" t="n"/>
      <c r="I23" s="141" t="n"/>
    </row>
    <row r="24">
      <c r="H24" s="142" t="n"/>
      <c r="I24" s="141" t="n"/>
    </row>
    <row r="25">
      <c r="H25" s="142" t="n"/>
      <c r="I25" s="141" t="n"/>
    </row>
    <row r="26">
      <c r="H26" s="142" t="n"/>
      <c r="I26" s="141" t="n"/>
    </row>
    <row r="27">
      <c r="H27" s="115" t="n"/>
      <c r="I27" s="141" t="n"/>
    </row>
    <row r="28">
      <c r="H28" s="115" t="n"/>
      <c r="I28" s="141" t="n"/>
    </row>
  </sheetData>
  <mergeCells count="2">
    <mergeCell ref="A13:N13"/>
    <mergeCell ref="G16:K16"/>
  </mergeCell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N4" sqref="N4"/>
    </sheetView>
  </sheetViews>
  <sheetFormatPr baseColWidth="8" defaultRowHeight="14.3"/>
  <cols>
    <col width="20.5" bestFit="1" customWidth="1" min="1" max="1"/>
    <col width="14.375" bestFit="1" customWidth="1" min="6" max="6"/>
    <col width="11.625" bestFit="1" customWidth="1" min="9" max="9"/>
    <col width="11.125" bestFit="1" customWidth="1" min="11" max="11"/>
    <col width="15.375" bestFit="1" customWidth="1" min="12" max="12"/>
    <col width="23.375" bestFit="1" customWidth="1" min="13" max="13"/>
    <col width="14.375" bestFit="1" customWidth="1" min="14" max="14"/>
  </cols>
  <sheetData>
    <row r="1">
      <c r="A1" s="77" t="inlineStr">
        <is>
          <t xml:space="preserve">Veículos Cadastrados 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9" t="n"/>
      <c r="M1" s="80" t="n"/>
      <c r="N1" s="81" t="n"/>
    </row>
    <row r="2">
      <c r="A2" s="82" t="inlineStr">
        <is>
          <t>Tipo</t>
        </is>
      </c>
      <c r="B2" s="82" t="inlineStr">
        <is>
          <t xml:space="preserve">Modelos </t>
        </is>
      </c>
      <c r="C2" s="82" t="inlineStr">
        <is>
          <t>Tag</t>
        </is>
      </c>
      <c r="D2" s="82" t="inlineStr">
        <is>
          <t>Locadora</t>
        </is>
      </c>
      <c r="E2" s="82" t="inlineStr">
        <is>
          <t>Localidade</t>
        </is>
      </c>
      <c r="F2" s="82" t="inlineStr">
        <is>
          <t>Placa</t>
        </is>
      </c>
      <c r="G2" s="82" t="inlineStr">
        <is>
          <t>SSO</t>
        </is>
      </c>
      <c r="H2" s="82" t="inlineStr">
        <is>
          <t>Condutores</t>
        </is>
      </c>
      <c r="I2" s="82" t="inlineStr">
        <is>
          <t>SEMANA 04</t>
        </is>
      </c>
      <c r="J2" s="82" t="inlineStr">
        <is>
          <t>KM ANTERIOR</t>
        </is>
      </c>
      <c r="K2" s="82" t="inlineStr">
        <is>
          <t>KM  ATUAL</t>
        </is>
      </c>
      <c r="L2" s="83" t="inlineStr">
        <is>
          <t>Ultima lavagem</t>
        </is>
      </c>
      <c r="M2" s="84" t="inlineStr">
        <is>
          <t>lavagem programada S-1</t>
        </is>
      </c>
      <c r="N2" s="85" t="inlineStr">
        <is>
          <t>Prox. Lavagem</t>
        </is>
      </c>
    </row>
    <row r="3">
      <c r="A3" s="86" t="inlineStr">
        <is>
          <t>Caminhonete</t>
        </is>
      </c>
      <c r="B3" s="40" t="inlineStr">
        <is>
          <t>CHEVROLET S10</t>
        </is>
      </c>
      <c r="C3" s="86" t="inlineStr">
        <is>
          <t>TN 29</t>
        </is>
      </c>
      <c r="D3" s="86" t="inlineStr">
        <is>
          <t>Sonda</t>
        </is>
      </c>
      <c r="E3" s="86" t="inlineStr">
        <is>
          <t>CKS</t>
        </is>
      </c>
      <c r="F3" s="86" t="inlineStr">
        <is>
          <t>FXR0F35</t>
        </is>
      </c>
      <c r="G3" s="86" t="inlineStr">
        <is>
          <t>CARAJÁS</t>
        </is>
      </c>
      <c r="H3" s="87" t="inlineStr">
        <is>
          <t>JOÃO TAVARES</t>
        </is>
      </c>
      <c r="I3" s="88" t="n">
        <v>45835</v>
      </c>
      <c r="J3" s="89" t="n">
        <v>160125</v>
      </c>
      <c r="K3" s="89" t="n"/>
      <c r="L3" s="90" t="n">
        <v>45825</v>
      </c>
      <c r="M3" s="137" t="n"/>
      <c r="N3" s="59" t="n">
        <v>45849</v>
      </c>
    </row>
    <row r="4">
      <c r="A4" s="86" t="inlineStr">
        <is>
          <t>Caminhonete</t>
        </is>
      </c>
      <c r="B4" s="40" t="inlineStr">
        <is>
          <t>Hillux</t>
        </is>
      </c>
      <c r="C4" s="86" t="inlineStr">
        <is>
          <t>TN 31</t>
        </is>
      </c>
      <c r="D4" s="86" t="inlineStr">
        <is>
          <t>SINAL</t>
        </is>
      </c>
      <c r="E4" s="86" t="inlineStr">
        <is>
          <t>CKS</t>
        </is>
      </c>
      <c r="F4" s="86" t="inlineStr">
        <is>
          <t>TCD7I68</t>
        </is>
      </c>
      <c r="G4" s="86" t="inlineStr">
        <is>
          <t>CARAJÁS</t>
        </is>
      </c>
      <c r="H4" s="87" t="inlineStr">
        <is>
          <t>Lucas</t>
        </is>
      </c>
      <c r="I4" s="88" t="n">
        <v>45835</v>
      </c>
      <c r="J4" s="89" t="n">
        <v>19058</v>
      </c>
      <c r="K4" s="89" t="n">
        <v>19461</v>
      </c>
      <c r="L4" s="90" t="n">
        <v>45830</v>
      </c>
      <c r="M4" s="140" t="inlineStr">
        <is>
          <t>pendente</t>
        </is>
      </c>
      <c r="N4" s="59" t="n">
        <v>45843</v>
      </c>
    </row>
    <row r="5">
      <c r="A5" s="86" t="inlineStr">
        <is>
          <t>Caminhonete</t>
        </is>
      </c>
      <c r="B5" s="40" t="inlineStr">
        <is>
          <t xml:space="preserve">FORD RANGER </t>
        </is>
      </c>
      <c r="C5" s="86" t="inlineStr">
        <is>
          <t>TN 72</t>
        </is>
      </c>
      <c r="D5" s="86" t="inlineStr">
        <is>
          <t>Sonda</t>
        </is>
      </c>
      <c r="E5" s="86" t="inlineStr">
        <is>
          <t>CKS</t>
        </is>
      </c>
      <c r="F5" s="86" t="inlineStr">
        <is>
          <t>FXD9A18</t>
        </is>
      </c>
      <c r="G5" s="86" t="inlineStr">
        <is>
          <t>CARAJÁS</t>
        </is>
      </c>
      <c r="H5" s="87" t="inlineStr">
        <is>
          <t>RAIMUNDO CHARLES</t>
        </is>
      </c>
      <c r="I5" s="88" t="n">
        <v>45835</v>
      </c>
      <c r="J5" s="89" t="n">
        <v>96041</v>
      </c>
      <c r="K5" s="89" t="n">
        <v>96790</v>
      </c>
      <c r="L5" s="119" t="n">
        <v>45842</v>
      </c>
      <c r="M5" s="137" t="inlineStr">
        <is>
          <t>ok</t>
        </is>
      </c>
      <c r="N5" s="135" t="n">
        <v>45848</v>
      </c>
    </row>
    <row r="6">
      <c r="A6" s="86" t="inlineStr">
        <is>
          <t>Caminhonete</t>
        </is>
      </c>
      <c r="B6" s="40" t="inlineStr">
        <is>
          <t>Hillux</t>
        </is>
      </c>
      <c r="C6" s="86" t="inlineStr">
        <is>
          <t>TN 03</t>
        </is>
      </c>
      <c r="D6" s="86" t="inlineStr">
        <is>
          <t>SINAL</t>
        </is>
      </c>
      <c r="E6" s="86" t="inlineStr">
        <is>
          <t>CKS</t>
        </is>
      </c>
      <c r="F6" s="86" t="inlineStr">
        <is>
          <t>TCD7H75</t>
        </is>
      </c>
      <c r="G6" s="86" t="inlineStr">
        <is>
          <t>CARAJÁS</t>
        </is>
      </c>
      <c r="H6" s="87" t="inlineStr">
        <is>
          <t>Lucas</t>
        </is>
      </c>
      <c r="I6" s="88" t="n">
        <v>45835</v>
      </c>
      <c r="J6" s="89" t="n">
        <v>17195</v>
      </c>
      <c r="K6" s="89" t="n">
        <v>17638</v>
      </c>
      <c r="L6" s="126" t="n">
        <v>45829</v>
      </c>
      <c r="M6" s="140" t="inlineStr">
        <is>
          <t>pendente</t>
        </is>
      </c>
      <c r="N6" s="135" t="n">
        <v>45844</v>
      </c>
    </row>
    <row r="7">
      <c r="A7" s="100" t="inlineStr">
        <is>
          <t>Caminhonete</t>
        </is>
      </c>
      <c r="B7" s="41" t="inlineStr">
        <is>
          <t>NISSAN FRONTIER</t>
        </is>
      </c>
      <c r="C7" s="100" t="inlineStr">
        <is>
          <t>TN 76</t>
        </is>
      </c>
      <c r="D7" s="100" t="inlineStr">
        <is>
          <t>SINAL</t>
        </is>
      </c>
      <c r="E7" s="100" t="inlineStr">
        <is>
          <t>CKS</t>
        </is>
      </c>
      <c r="F7" s="100" t="inlineStr">
        <is>
          <t>TCD7H72</t>
        </is>
      </c>
      <c r="G7" s="100" t="inlineStr">
        <is>
          <t>CARAJÁS</t>
        </is>
      </c>
      <c r="H7" s="101" t="inlineStr">
        <is>
          <t>Renan</t>
        </is>
      </c>
      <c r="I7" s="88" t="n">
        <v>45835</v>
      </c>
      <c r="J7" s="102" t="n">
        <v>12132</v>
      </c>
      <c r="K7" s="102" t="n">
        <v>13058</v>
      </c>
      <c r="L7" s="104" t="n">
        <v>45834</v>
      </c>
      <c r="M7" s="140" t="inlineStr">
        <is>
          <t>pendente</t>
        </is>
      </c>
      <c r="N7" s="59" t="n">
        <v>45845</v>
      </c>
    </row>
    <row r="8">
      <c r="A8" s="100" t="inlineStr">
        <is>
          <t>Caminhonete</t>
        </is>
      </c>
      <c r="B8" s="41" t="inlineStr">
        <is>
          <t>HILLUX</t>
        </is>
      </c>
      <c r="C8" s="100" t="inlineStr">
        <is>
          <t>TN 04</t>
        </is>
      </c>
      <c r="D8" s="100" t="inlineStr">
        <is>
          <t>SINAL</t>
        </is>
      </c>
      <c r="E8" s="100" t="inlineStr">
        <is>
          <t>CKS</t>
        </is>
      </c>
      <c r="F8" s="100" t="inlineStr">
        <is>
          <t>TDM2E37</t>
        </is>
      </c>
      <c r="G8" s="100" t="inlineStr">
        <is>
          <t>CARAJÁS</t>
        </is>
      </c>
      <c r="H8" s="101" t="inlineStr">
        <is>
          <t>MATHEUS</t>
        </is>
      </c>
      <c r="I8" s="88" t="n">
        <v>45835</v>
      </c>
      <c r="J8" s="102" t="n">
        <v>8520</v>
      </c>
      <c r="K8" s="102" t="n">
        <v>9029</v>
      </c>
      <c r="L8" s="104" t="n">
        <v>45815</v>
      </c>
      <c r="M8" s="140" t="inlineStr">
        <is>
          <t>pendente</t>
        </is>
      </c>
      <c r="N8" s="59" t="n">
        <v>45847</v>
      </c>
    </row>
    <row r="9">
      <c r="A9" s="100" t="inlineStr">
        <is>
          <t>Leve</t>
        </is>
      </c>
      <c r="B9" s="41" t="inlineStr">
        <is>
          <t>Tracker</t>
        </is>
      </c>
      <c r="C9" s="100" t="inlineStr">
        <is>
          <t>TN 01</t>
        </is>
      </c>
      <c r="D9" s="100" t="inlineStr">
        <is>
          <t>Localiza</t>
        </is>
      </c>
      <c r="E9" s="100" t="inlineStr">
        <is>
          <t>CKS</t>
        </is>
      </c>
      <c r="F9" s="100" t="inlineStr">
        <is>
          <t>TCO2C15</t>
        </is>
      </c>
      <c r="G9" s="100" t="inlineStr">
        <is>
          <t>CARAJÁS</t>
        </is>
      </c>
      <c r="H9" s="101" t="inlineStr">
        <is>
          <t>Fabricio Maia</t>
        </is>
      </c>
      <c r="I9" s="88" t="n">
        <v>45835</v>
      </c>
      <c r="J9" s="102" t="n">
        <v>16944</v>
      </c>
      <c r="K9" s="102" t="n">
        <v>17277</v>
      </c>
      <c r="L9" s="104" t="n">
        <v>45826</v>
      </c>
      <c r="M9" s="140" t="inlineStr">
        <is>
          <t>pendente</t>
        </is>
      </c>
      <c r="N9" s="58" t="inlineStr">
        <is>
          <t> </t>
        </is>
      </c>
    </row>
    <row r="10">
      <c r="A10" s="100" t="inlineStr">
        <is>
          <t>Caminhonete</t>
        </is>
      </c>
      <c r="B10" s="41" t="inlineStr">
        <is>
          <t>Ranger</t>
        </is>
      </c>
      <c r="C10" s="100" t="inlineStr">
        <is>
          <t>TN 74</t>
        </is>
      </c>
      <c r="D10" s="100" t="inlineStr">
        <is>
          <t>SONDA</t>
        </is>
      </c>
      <c r="E10" s="100" t="inlineStr">
        <is>
          <t>CKS</t>
        </is>
      </c>
      <c r="F10" s="100" t="inlineStr">
        <is>
          <t>RDM2E33</t>
        </is>
      </c>
      <c r="G10" s="100" t="inlineStr">
        <is>
          <t>CARAJÁS</t>
        </is>
      </c>
      <c r="H10" s="101" t="inlineStr">
        <is>
          <t>Ederson</t>
        </is>
      </c>
      <c r="I10" s="88" t="n">
        <v>45835</v>
      </c>
      <c r="J10" s="125" t="n">
        <v>9258</v>
      </c>
      <c r="K10" s="125" t="n">
        <v>10085</v>
      </c>
      <c r="L10" s="104" t="n">
        <v>45841</v>
      </c>
      <c r="M10" s="137" t="inlineStr">
        <is>
          <t>03/07 - 30/06 - ok</t>
        </is>
      </c>
      <c r="N10" s="59" t="n">
        <v>45848</v>
      </c>
    </row>
    <row r="11">
      <c r="A11" s="121" t="inlineStr">
        <is>
          <t>Caminhonete</t>
        </is>
      </c>
      <c r="B11" s="122" t="inlineStr">
        <is>
          <t>Hillux</t>
        </is>
      </c>
      <c r="C11" s="121" t="inlineStr">
        <is>
          <t>TN 73</t>
        </is>
      </c>
      <c r="D11" s="121" t="inlineStr">
        <is>
          <t>SINAL</t>
        </is>
      </c>
      <c r="E11" s="121" t="inlineStr">
        <is>
          <t>CKS</t>
        </is>
      </c>
      <c r="F11" s="121" t="inlineStr">
        <is>
          <t>TCD7H73</t>
        </is>
      </c>
      <c r="G11" s="121" t="inlineStr">
        <is>
          <t>CARAJÁS</t>
        </is>
      </c>
      <c r="H11" s="123" t="inlineStr">
        <is>
          <t>William</t>
        </is>
      </c>
      <c r="I11" s="88" t="n">
        <v>45835</v>
      </c>
      <c r="J11" s="125" t="n">
        <v>5411</v>
      </c>
      <c r="K11" s="125" t="n">
        <v>5642</v>
      </c>
      <c r="L11" s="126" t="n">
        <v>45842</v>
      </c>
      <c r="M11" s="137" t="inlineStr">
        <is>
          <t>ok</t>
        </is>
      </c>
      <c r="N11" s="135" t="n">
        <v>45849</v>
      </c>
    </row>
    <row r="12">
      <c r="A12" s="115" t="inlineStr">
        <is>
          <t>Caminhonete</t>
        </is>
      </c>
      <c r="B12" s="116" t="inlineStr">
        <is>
          <t>NISSAN FRONTIER</t>
        </is>
      </c>
      <c r="C12" s="115" t="inlineStr">
        <is>
          <t>TN78</t>
        </is>
      </c>
      <c r="D12" s="115" t="inlineStr">
        <is>
          <t>SONDA</t>
        </is>
      </c>
      <c r="E12" s="115" t="inlineStr">
        <is>
          <t>CKS</t>
        </is>
      </c>
      <c r="F12" s="115" t="inlineStr">
        <is>
          <t xml:space="preserve">FZY4F28 </t>
        </is>
      </c>
      <c r="G12" s="115" t="inlineStr">
        <is>
          <t>CARAJÁS</t>
        </is>
      </c>
      <c r="H12" s="115" t="inlineStr">
        <is>
          <t>Ederson</t>
        </is>
      </c>
      <c r="I12" s="88" t="n">
        <v>45835</v>
      </c>
      <c r="J12" s="118" t="n">
        <v>95575</v>
      </c>
      <c r="K12" s="118" t="n">
        <v>95942</v>
      </c>
      <c r="L12" s="119" t="n">
        <v>45834</v>
      </c>
      <c r="M12" s="140" t="inlineStr">
        <is>
          <t>pendente</t>
        </is>
      </c>
      <c r="N12" s="59" t="n">
        <v>45854</v>
      </c>
    </row>
    <row r="13">
      <c r="A13" s="313" t="n"/>
      <c r="B13" s="321" t="n"/>
      <c r="C13" s="321" t="n"/>
      <c r="D13" s="321" t="n"/>
      <c r="E13" s="321" t="n"/>
      <c r="F13" s="321" t="n"/>
      <c r="G13" s="321" t="n"/>
      <c r="H13" s="321" t="n"/>
      <c r="I13" s="321" t="n"/>
      <c r="J13" s="321" t="n"/>
      <c r="K13" s="321" t="n"/>
      <c r="L13" s="321" t="n"/>
      <c r="M13" s="321" t="n"/>
      <c r="N13" s="321" t="n"/>
    </row>
    <row r="14">
      <c r="A14" s="82" t="inlineStr">
        <is>
          <t>Tipo</t>
        </is>
      </c>
      <c r="B14" s="82" t="inlineStr">
        <is>
          <t xml:space="preserve">Modelos </t>
        </is>
      </c>
      <c r="C14" s="82" t="inlineStr">
        <is>
          <t>Tag</t>
        </is>
      </c>
      <c r="D14" s="82" t="inlineStr">
        <is>
          <t>Locadora</t>
        </is>
      </c>
      <c r="E14" s="82" t="inlineStr">
        <is>
          <t>Localidade</t>
        </is>
      </c>
      <c r="F14" s="82" t="inlineStr">
        <is>
          <t>Placa</t>
        </is>
      </c>
      <c r="G14" s="82" t="inlineStr">
        <is>
          <t>SSO</t>
        </is>
      </c>
      <c r="H14" s="82" t="inlineStr">
        <is>
          <t>Condutores</t>
        </is>
      </c>
      <c r="I14" s="82" t="inlineStr">
        <is>
          <t>SEMANA 01</t>
        </is>
      </c>
      <c r="J14" s="82" t="n"/>
      <c r="K14" s="82" t="inlineStr">
        <is>
          <t xml:space="preserve">KM  </t>
        </is>
      </c>
      <c r="L14" s="82" t="n"/>
      <c r="M14" s="82" t="n"/>
      <c r="N14" s="85" t="inlineStr">
        <is>
          <t>Prox. Lavagem</t>
        </is>
      </c>
    </row>
  </sheetData>
  <mergeCells count="1">
    <mergeCell ref="A13:N13"/>
  </mergeCells>
  <pageMargins left="0.7" right="0.7" top="0.75" bottom="0.75" header="0.3" footer="0.3"/>
  <pageSetup orientation="portrait" paperSize="9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14"/>
  <sheetViews>
    <sheetView topLeftCell="B1" workbookViewId="0">
      <selection activeCell="M17" sqref="M17"/>
    </sheetView>
  </sheetViews>
  <sheetFormatPr baseColWidth="8" defaultRowHeight="14.3"/>
  <cols>
    <col width="20.5" bestFit="1" customWidth="1" min="1" max="1"/>
    <col width="17" bestFit="1" customWidth="1" min="2" max="2"/>
    <col width="20" bestFit="1" customWidth="1" min="8" max="8"/>
    <col width="11.625" bestFit="1" customWidth="1" min="9" max="9"/>
    <col width="14" bestFit="1" customWidth="1" min="10" max="10"/>
    <col width="11.125" bestFit="1" customWidth="1" min="11" max="11"/>
    <col width="15.375" bestFit="1" customWidth="1" min="12" max="12"/>
    <col width="23.375" bestFit="1" customWidth="1" min="13" max="13"/>
    <col width="12.5" customWidth="1" min="14" max="14"/>
  </cols>
  <sheetData>
    <row r="1">
      <c r="A1" s="77" t="inlineStr">
        <is>
          <t xml:space="preserve">Veículos Cadastrados 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9" t="n"/>
      <c r="M1" s="80" t="n"/>
      <c r="N1" s="81" t="n"/>
    </row>
    <row r="2">
      <c r="A2" s="82" t="inlineStr">
        <is>
          <t>Tipo</t>
        </is>
      </c>
      <c r="B2" s="82" t="inlineStr">
        <is>
          <t xml:space="preserve">Modelos </t>
        </is>
      </c>
      <c r="C2" s="82" t="inlineStr">
        <is>
          <t>Tag</t>
        </is>
      </c>
      <c r="D2" s="82" t="inlineStr">
        <is>
          <t>Locadora</t>
        </is>
      </c>
      <c r="E2" s="82" t="inlineStr">
        <is>
          <t>Localidade</t>
        </is>
      </c>
      <c r="F2" s="82" t="inlineStr">
        <is>
          <t>Placa</t>
        </is>
      </c>
      <c r="G2" s="82" t="inlineStr">
        <is>
          <t>SSO</t>
        </is>
      </c>
      <c r="H2" s="82" t="inlineStr">
        <is>
          <t>Condutores</t>
        </is>
      </c>
      <c r="I2" s="82" t="inlineStr">
        <is>
          <t>SEMANA 02</t>
        </is>
      </c>
      <c r="J2" s="82" t="inlineStr">
        <is>
          <t>KM ANTERIOR</t>
        </is>
      </c>
      <c r="K2" s="82" t="inlineStr">
        <is>
          <t>KM  ATUAL</t>
        </is>
      </c>
      <c r="L2" s="83" t="inlineStr">
        <is>
          <t>Ultima lavagem</t>
        </is>
      </c>
      <c r="M2" s="84" t="inlineStr">
        <is>
          <t>lavagem programada S-1</t>
        </is>
      </c>
      <c r="N2" s="85" t="inlineStr">
        <is>
          <t>Prox. Lavagem</t>
        </is>
      </c>
    </row>
    <row r="3">
      <c r="A3" s="86" t="inlineStr">
        <is>
          <t>Caminhonete</t>
        </is>
      </c>
      <c r="B3" s="40" t="inlineStr">
        <is>
          <t>CHEVROLET S10</t>
        </is>
      </c>
      <c r="C3" s="86" t="inlineStr">
        <is>
          <t>TN 29</t>
        </is>
      </c>
      <c r="D3" s="86" t="inlineStr">
        <is>
          <t>Sonda</t>
        </is>
      </c>
      <c r="E3" s="86" t="inlineStr">
        <is>
          <t>CKS</t>
        </is>
      </c>
      <c r="F3" s="86" t="inlineStr">
        <is>
          <t>FXR0F35</t>
        </is>
      </c>
      <c r="G3" s="86" t="inlineStr">
        <is>
          <t>CARAJÁS</t>
        </is>
      </c>
      <c r="H3" s="87" t="inlineStr">
        <is>
          <t>JOÃO TAVARES</t>
        </is>
      </c>
      <c r="I3" s="88" t="n">
        <v>45835</v>
      </c>
      <c r="J3" s="89" t="n">
        <v>160125</v>
      </c>
      <c r="K3" s="89" t="n">
        <v>161302</v>
      </c>
      <c r="L3" s="90" t="n">
        <v>45846</v>
      </c>
      <c r="M3" s="137" t="inlineStr">
        <is>
          <t>ok</t>
        </is>
      </c>
      <c r="N3" s="59" t="n">
        <v>45856</v>
      </c>
    </row>
    <row r="4">
      <c r="A4" s="86" t="inlineStr">
        <is>
          <t>Caminhonete</t>
        </is>
      </c>
      <c r="B4" s="40" t="inlineStr">
        <is>
          <t>Hillux</t>
        </is>
      </c>
      <c r="C4" s="86" t="inlineStr">
        <is>
          <t>TN 31</t>
        </is>
      </c>
      <c r="D4" s="86" t="inlineStr">
        <is>
          <t>SINAL</t>
        </is>
      </c>
      <c r="E4" s="86" t="inlineStr">
        <is>
          <t>CKS</t>
        </is>
      </c>
      <c r="F4" s="86" t="inlineStr">
        <is>
          <t>TCD7I68</t>
        </is>
      </c>
      <c r="G4" s="86" t="inlineStr">
        <is>
          <t>CARAJÁS</t>
        </is>
      </c>
      <c r="H4" s="87" t="inlineStr">
        <is>
          <t>Lucas</t>
        </is>
      </c>
      <c r="I4" s="88" t="n">
        <v>45835</v>
      </c>
      <c r="J4" s="89" t="n">
        <v>19461</v>
      </c>
      <c r="K4" s="89" t="n">
        <v>19689</v>
      </c>
      <c r="L4" s="90" t="n">
        <v>45844</v>
      </c>
      <c r="M4" s="137" t="inlineStr">
        <is>
          <t>ok</t>
        </is>
      </c>
      <c r="N4" s="59" t="n">
        <v>45850</v>
      </c>
    </row>
    <row r="5">
      <c r="A5" s="86" t="inlineStr">
        <is>
          <t>Caminhonete</t>
        </is>
      </c>
      <c r="B5" s="40" t="inlineStr">
        <is>
          <t xml:space="preserve">FORD RANGER </t>
        </is>
      </c>
      <c r="C5" s="86" t="inlineStr">
        <is>
          <t>TN 72</t>
        </is>
      </c>
      <c r="D5" s="86" t="inlineStr">
        <is>
          <t>Sonda</t>
        </is>
      </c>
      <c r="E5" s="86" t="inlineStr">
        <is>
          <t>CKS</t>
        </is>
      </c>
      <c r="F5" s="86" t="inlineStr">
        <is>
          <t>FXD9A18</t>
        </is>
      </c>
      <c r="G5" s="86" t="inlineStr">
        <is>
          <t>CARAJÁS</t>
        </is>
      </c>
      <c r="H5" s="87" t="inlineStr">
        <is>
          <t>RAIMUNDO CHARLES</t>
        </is>
      </c>
      <c r="I5" s="88" t="n">
        <v>45835</v>
      </c>
      <c r="J5" s="89" t="n">
        <v>96790</v>
      </c>
      <c r="K5" s="89" t="n">
        <v>97782</v>
      </c>
      <c r="L5" s="119" t="n">
        <v>45842</v>
      </c>
      <c r="M5" s="140" t="inlineStr">
        <is>
          <t>pendente</t>
        </is>
      </c>
      <c r="N5" s="135" t="n">
        <v>45852</v>
      </c>
    </row>
    <row r="6">
      <c r="A6" s="86" t="inlineStr">
        <is>
          <t>Caminhonete</t>
        </is>
      </c>
      <c r="B6" s="40" t="inlineStr">
        <is>
          <t>Hillux</t>
        </is>
      </c>
      <c r="C6" s="86" t="inlineStr">
        <is>
          <t>TN 03</t>
        </is>
      </c>
      <c r="D6" s="86" t="inlineStr">
        <is>
          <t>SINAL</t>
        </is>
      </c>
      <c r="E6" s="86" t="inlineStr">
        <is>
          <t>CKS</t>
        </is>
      </c>
      <c r="F6" s="86" t="inlineStr">
        <is>
          <t>TCD7H75</t>
        </is>
      </c>
      <c r="G6" s="86" t="inlineStr">
        <is>
          <t>CARAJÁS</t>
        </is>
      </c>
      <c r="H6" s="87" t="inlineStr">
        <is>
          <t>Lucas</t>
        </is>
      </c>
      <c r="I6" s="88" t="n">
        <v>45835</v>
      </c>
      <c r="J6" s="89" t="n">
        <v>17638</v>
      </c>
      <c r="K6" s="89" t="n"/>
      <c r="L6" s="126" t="n">
        <v>45845</v>
      </c>
      <c r="M6" s="137" t="inlineStr">
        <is>
          <t>07/07 - 06/07 - ok</t>
        </is>
      </c>
      <c r="N6" s="135" t="n">
        <v>45853</v>
      </c>
    </row>
    <row r="7">
      <c r="A7" s="100" t="inlineStr">
        <is>
          <t>Caminhonete</t>
        </is>
      </c>
      <c r="B7" s="41" t="inlineStr">
        <is>
          <t>NISSAN FRONTIER</t>
        </is>
      </c>
      <c r="C7" s="100" t="inlineStr">
        <is>
          <t>TN 76</t>
        </is>
      </c>
      <c r="D7" s="100" t="inlineStr">
        <is>
          <t>SINAL</t>
        </is>
      </c>
      <c r="E7" s="100" t="inlineStr">
        <is>
          <t>CKS</t>
        </is>
      </c>
      <c r="F7" s="100" t="inlineStr">
        <is>
          <t>TCD7H72</t>
        </is>
      </c>
      <c r="G7" s="100" t="inlineStr">
        <is>
          <t>CARAJÁS</t>
        </is>
      </c>
      <c r="H7" s="101" t="inlineStr">
        <is>
          <t>Renan</t>
        </is>
      </c>
      <c r="I7" s="88" t="n">
        <v>45835</v>
      </c>
      <c r="J7" s="102" t="n">
        <v>13058</v>
      </c>
      <c r="K7" s="102" t="n">
        <v>14102</v>
      </c>
      <c r="L7" s="104" t="n">
        <v>45847</v>
      </c>
      <c r="M7" s="143" t="inlineStr">
        <is>
          <t>09/07 - 07/07 ok</t>
        </is>
      </c>
      <c r="N7" s="59" t="n">
        <v>45856</v>
      </c>
    </row>
    <row r="8">
      <c r="A8" s="100" t="inlineStr">
        <is>
          <t>Caminhonete</t>
        </is>
      </c>
      <c r="B8" s="41" t="inlineStr">
        <is>
          <t>HILLUX</t>
        </is>
      </c>
      <c r="C8" s="100" t="inlineStr">
        <is>
          <t>TN 04</t>
        </is>
      </c>
      <c r="D8" s="100" t="inlineStr">
        <is>
          <t>SINAL</t>
        </is>
      </c>
      <c r="E8" s="100" t="inlineStr">
        <is>
          <t>CKS</t>
        </is>
      </c>
      <c r="F8" s="100" t="inlineStr">
        <is>
          <t>TDM2E37</t>
        </is>
      </c>
      <c r="G8" s="100" t="inlineStr">
        <is>
          <t>CARAJÁS</t>
        </is>
      </c>
      <c r="H8" s="101" t="inlineStr">
        <is>
          <t>MATHEUS</t>
        </is>
      </c>
      <c r="I8" s="88" t="n">
        <v>45835</v>
      </c>
      <c r="J8" s="102" t="n">
        <v>9029</v>
      </c>
      <c r="K8" s="102" t="n">
        <v>9862</v>
      </c>
      <c r="L8" s="104" t="n">
        <v>45845</v>
      </c>
      <c r="M8" s="137" t="inlineStr">
        <is>
          <t>ok</t>
        </is>
      </c>
      <c r="N8" s="59" t="n">
        <v>45851</v>
      </c>
    </row>
    <row r="9">
      <c r="A9" s="100" t="inlineStr">
        <is>
          <t>Leve</t>
        </is>
      </c>
      <c r="B9" s="41" t="inlineStr">
        <is>
          <t>Tracker</t>
        </is>
      </c>
      <c r="C9" s="100" t="inlineStr">
        <is>
          <t>TN 01</t>
        </is>
      </c>
      <c r="D9" s="100" t="inlineStr">
        <is>
          <t>Localiza</t>
        </is>
      </c>
      <c r="E9" s="100" t="inlineStr">
        <is>
          <t>CKS</t>
        </is>
      </c>
      <c r="F9" s="100" t="inlineStr">
        <is>
          <t>TCO2C15</t>
        </is>
      </c>
      <c r="G9" s="100" t="inlineStr">
        <is>
          <t>CARAJÁS</t>
        </is>
      </c>
      <c r="H9" s="101" t="inlineStr">
        <is>
          <t>Fabricio Maia</t>
        </is>
      </c>
      <c r="I9" s="88" t="n">
        <v>45835</v>
      </c>
      <c r="J9" s="102" t="n">
        <v>17277</v>
      </c>
      <c r="K9" s="102" t="n"/>
      <c r="L9" s="104" t="n">
        <v>45826</v>
      </c>
      <c r="M9" s="140" t="inlineStr">
        <is>
          <t>pendente</t>
        </is>
      </c>
      <c r="N9" s="58" t="inlineStr">
        <is>
          <t> </t>
        </is>
      </c>
    </row>
    <row r="10">
      <c r="A10" s="100" t="inlineStr">
        <is>
          <t>Caminhonete</t>
        </is>
      </c>
      <c r="B10" s="41" t="inlineStr">
        <is>
          <t>Ranger</t>
        </is>
      </c>
      <c r="C10" s="100" t="inlineStr">
        <is>
          <t>TN 74</t>
        </is>
      </c>
      <c r="D10" s="100" t="inlineStr">
        <is>
          <t>SONDA</t>
        </is>
      </c>
      <c r="E10" s="100" t="inlineStr">
        <is>
          <t>CKS</t>
        </is>
      </c>
      <c r="F10" s="100" t="inlineStr">
        <is>
          <t>RDM2E33</t>
        </is>
      </c>
      <c r="G10" s="100" t="inlineStr">
        <is>
          <t>CARAJÁS</t>
        </is>
      </c>
      <c r="H10" s="101" t="inlineStr">
        <is>
          <t>Ederson</t>
        </is>
      </c>
      <c r="I10" s="88" t="n">
        <v>45835</v>
      </c>
      <c r="J10" s="125" t="n">
        <v>10085</v>
      </c>
      <c r="K10" s="125" t="n"/>
      <c r="L10" s="104" t="n">
        <v>45841</v>
      </c>
      <c r="M10" s="137" t="inlineStr">
        <is>
          <t>03/07 - 30/06 - ok</t>
        </is>
      </c>
      <c r="N10" s="59" t="n">
        <v>45852</v>
      </c>
    </row>
    <row r="11">
      <c r="A11" s="121" t="inlineStr">
        <is>
          <t>Caminhonete</t>
        </is>
      </c>
      <c r="B11" s="122" t="inlineStr">
        <is>
          <t>Hillux</t>
        </is>
      </c>
      <c r="C11" s="121" t="inlineStr">
        <is>
          <t>TN 73</t>
        </is>
      </c>
      <c r="D11" s="121" t="inlineStr">
        <is>
          <t>SINAL</t>
        </is>
      </c>
      <c r="E11" s="121" t="inlineStr">
        <is>
          <t>CKS</t>
        </is>
      </c>
      <c r="F11" s="121" t="inlineStr">
        <is>
          <t>TCD7H73</t>
        </is>
      </c>
      <c r="G11" s="121" t="inlineStr">
        <is>
          <t>CARAJÁS</t>
        </is>
      </c>
      <c r="H11" s="123" t="inlineStr">
        <is>
          <t>William</t>
        </is>
      </c>
      <c r="I11" s="88" t="n">
        <v>45835</v>
      </c>
      <c r="J11" s="125" t="n">
        <v>5642</v>
      </c>
      <c r="K11" s="125" t="n">
        <v>5861</v>
      </c>
      <c r="L11" s="126" t="n">
        <v>45845</v>
      </c>
      <c r="M11" s="137" t="inlineStr">
        <is>
          <t>ok</t>
        </is>
      </c>
      <c r="N11" s="135" t="n">
        <v>45852</v>
      </c>
    </row>
    <row r="12">
      <c r="A12" s="115" t="inlineStr">
        <is>
          <t>Caminhonete</t>
        </is>
      </c>
      <c r="B12" s="116" t="inlineStr">
        <is>
          <t>NISSAN FRONTIER</t>
        </is>
      </c>
      <c r="C12" s="115" t="inlineStr">
        <is>
          <t>TN78</t>
        </is>
      </c>
      <c r="D12" s="115" t="inlineStr">
        <is>
          <t>SONDA</t>
        </is>
      </c>
      <c r="E12" s="115" t="inlineStr">
        <is>
          <t>CKS</t>
        </is>
      </c>
      <c r="F12" s="115" t="inlineStr">
        <is>
          <t xml:space="preserve">FZY4F28 </t>
        </is>
      </c>
      <c r="G12" s="115" t="inlineStr">
        <is>
          <t>CARAJÁS</t>
        </is>
      </c>
      <c r="H12" s="115" t="inlineStr">
        <is>
          <t>Ederson</t>
        </is>
      </c>
      <c r="I12" s="88" t="n">
        <v>45835</v>
      </c>
      <c r="J12" s="118" t="n">
        <v>95942</v>
      </c>
      <c r="K12" s="118" t="n">
        <v>96813</v>
      </c>
      <c r="L12" s="119" t="n">
        <v>45849</v>
      </c>
      <c r="M12" s="137" t="inlineStr">
        <is>
          <t>ok</t>
        </is>
      </c>
      <c r="N12" s="59" t="n">
        <v>45856</v>
      </c>
    </row>
    <row r="13">
      <c r="A13" s="313" t="n"/>
      <c r="B13" s="321" t="n"/>
      <c r="C13" s="321" t="n"/>
      <c r="D13" s="321" t="n"/>
      <c r="E13" s="321" t="n"/>
      <c r="F13" s="321" t="n"/>
      <c r="G13" s="321" t="n"/>
      <c r="H13" s="321" t="n"/>
      <c r="I13" s="321" t="n"/>
      <c r="J13" s="321" t="n"/>
      <c r="K13" s="321" t="n"/>
      <c r="L13" s="321" t="n"/>
      <c r="M13" s="321" t="n"/>
      <c r="N13" s="321" t="n"/>
    </row>
    <row r="14">
      <c r="A14" s="82" t="inlineStr">
        <is>
          <t>Tipo</t>
        </is>
      </c>
      <c r="B14" s="82" t="inlineStr">
        <is>
          <t xml:space="preserve">Modelos </t>
        </is>
      </c>
      <c r="C14" s="82" t="inlineStr">
        <is>
          <t>Tag</t>
        </is>
      </c>
      <c r="D14" s="82" t="inlineStr">
        <is>
          <t>Locadora</t>
        </is>
      </c>
      <c r="E14" s="82" t="inlineStr">
        <is>
          <t>Localidade</t>
        </is>
      </c>
      <c r="F14" s="82" t="inlineStr">
        <is>
          <t>Placa</t>
        </is>
      </c>
      <c r="G14" s="82" t="inlineStr">
        <is>
          <t>SSO</t>
        </is>
      </c>
      <c r="H14" s="82" t="inlineStr">
        <is>
          <t>Condutores</t>
        </is>
      </c>
      <c r="I14" s="82" t="inlineStr">
        <is>
          <t>SEMANA 01</t>
        </is>
      </c>
      <c r="J14" s="82" t="n"/>
      <c r="K14" s="82" t="inlineStr">
        <is>
          <t xml:space="preserve">KM  </t>
        </is>
      </c>
      <c r="L14" s="82" t="n"/>
      <c r="M14" s="82" t="n"/>
      <c r="N14" s="85" t="inlineStr">
        <is>
          <t>Prox. Lavagem</t>
        </is>
      </c>
    </row>
  </sheetData>
  <mergeCells count="1">
    <mergeCell ref="A13:N13"/>
  </mergeCell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14"/>
  <sheetViews>
    <sheetView topLeftCell="B1" workbookViewId="0">
      <selection activeCell="L6" sqref="L6"/>
    </sheetView>
  </sheetViews>
  <sheetFormatPr baseColWidth="8" defaultRowHeight="14.3"/>
  <cols>
    <col width="20.5" bestFit="1" customWidth="1" min="1" max="1"/>
    <col width="17" bestFit="1" customWidth="1" min="2" max="2"/>
    <col width="9.125" customWidth="1" min="4" max="7"/>
    <col width="20" customWidth="1" min="8" max="8"/>
    <col width="11.625" customWidth="1" min="9" max="9"/>
    <col width="14" customWidth="1" min="10" max="10"/>
    <col width="11.125" customWidth="1" min="11" max="11"/>
    <col width="15.375" customWidth="1" min="12" max="12"/>
    <col width="23.375" customWidth="1" min="13" max="13"/>
    <col width="12.5" customWidth="1" min="14" max="14"/>
  </cols>
  <sheetData>
    <row r="1">
      <c r="A1" s="77" t="inlineStr">
        <is>
          <t xml:space="preserve">Veículos Cadastrados 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9" t="n"/>
      <c r="M1" s="80" t="n"/>
      <c r="N1" s="81" t="n"/>
    </row>
    <row r="2">
      <c r="A2" s="82" t="inlineStr">
        <is>
          <t>Tipo</t>
        </is>
      </c>
      <c r="B2" s="82" t="inlineStr">
        <is>
          <t xml:space="preserve">Modelos </t>
        </is>
      </c>
      <c r="C2" s="82" t="inlineStr">
        <is>
          <t>Tag</t>
        </is>
      </c>
      <c r="D2" s="82" t="inlineStr">
        <is>
          <t>Locadora</t>
        </is>
      </c>
      <c r="E2" s="82" t="inlineStr">
        <is>
          <t>Localidade</t>
        </is>
      </c>
      <c r="F2" s="82" t="inlineStr">
        <is>
          <t>Placa</t>
        </is>
      </c>
      <c r="G2" s="82" t="inlineStr">
        <is>
          <t>SSO</t>
        </is>
      </c>
      <c r="H2" s="82" t="inlineStr">
        <is>
          <t>Condutores</t>
        </is>
      </c>
      <c r="I2" s="82" t="inlineStr">
        <is>
          <t>SEMANA 03</t>
        </is>
      </c>
      <c r="J2" s="82" t="inlineStr">
        <is>
          <t>KM ANTERIOR</t>
        </is>
      </c>
      <c r="K2" s="82" t="inlineStr">
        <is>
          <t>KM  ATUAL</t>
        </is>
      </c>
      <c r="L2" s="83" t="inlineStr">
        <is>
          <t>Ultima lavagem</t>
        </is>
      </c>
      <c r="M2" s="84" t="inlineStr">
        <is>
          <t>lavagem programada S-1</t>
        </is>
      </c>
      <c r="N2" s="85" t="inlineStr">
        <is>
          <t>Prox. Lavagem</t>
        </is>
      </c>
    </row>
    <row r="3">
      <c r="A3" s="86" t="inlineStr">
        <is>
          <t>Caminhonete</t>
        </is>
      </c>
      <c r="B3" s="40" t="inlineStr">
        <is>
          <t>CHEVROLET S10</t>
        </is>
      </c>
      <c r="C3" s="145" t="inlineStr">
        <is>
          <t>TN 29</t>
        </is>
      </c>
      <c r="D3" s="86" t="inlineStr">
        <is>
          <t>Sonda</t>
        </is>
      </c>
      <c r="E3" s="86" t="inlineStr">
        <is>
          <t>CKS</t>
        </is>
      </c>
      <c r="F3" s="86" t="inlineStr">
        <is>
          <t>FXR0F35</t>
        </is>
      </c>
      <c r="G3" s="86" t="inlineStr">
        <is>
          <t>CARAJÁS</t>
        </is>
      </c>
      <c r="H3" s="87" t="inlineStr">
        <is>
          <t>JOÃO TAVARES</t>
        </is>
      </c>
      <c r="I3" s="88" t="n">
        <v>45835</v>
      </c>
      <c r="J3" s="89" t="n">
        <v>161302</v>
      </c>
      <c r="K3" s="89" t="n">
        <v>162277</v>
      </c>
      <c r="L3" s="90" t="n">
        <v>45876</v>
      </c>
      <c r="M3" s="140" t="inlineStr">
        <is>
          <t xml:space="preserve">pendente </t>
        </is>
      </c>
      <c r="N3" s="59" t="inlineStr">
        <is>
          <t>22/07/2025</t>
        </is>
      </c>
    </row>
    <row r="4">
      <c r="A4" s="86" t="inlineStr">
        <is>
          <t>Caminhonete</t>
        </is>
      </c>
      <c r="B4" s="40" t="inlineStr">
        <is>
          <t>Hillux</t>
        </is>
      </c>
      <c r="C4" s="145" t="inlineStr">
        <is>
          <t>TN 31</t>
        </is>
      </c>
      <c r="D4" s="86" t="inlineStr">
        <is>
          <t>SINAL</t>
        </is>
      </c>
      <c r="E4" s="86" t="inlineStr">
        <is>
          <t>CKS</t>
        </is>
      </c>
      <c r="F4" s="86" t="inlineStr">
        <is>
          <t>TCD7I68</t>
        </is>
      </c>
      <c r="G4" s="86" t="inlineStr">
        <is>
          <t>CARAJÁS</t>
        </is>
      </c>
      <c r="H4" s="87" t="inlineStr">
        <is>
          <t>Lucas</t>
        </is>
      </c>
      <c r="I4" s="88" t="n">
        <v>45835</v>
      </c>
      <c r="J4" s="89" t="n">
        <v>19689</v>
      </c>
      <c r="K4" s="89" t="n">
        <v>20051</v>
      </c>
      <c r="L4" s="90" t="n">
        <v>45844</v>
      </c>
      <c r="M4" s="140" t="inlineStr">
        <is>
          <t xml:space="preserve">pendente </t>
        </is>
      </c>
      <c r="N4" s="59" t="inlineStr">
        <is>
          <t>21/07/2025</t>
        </is>
      </c>
    </row>
    <row r="5">
      <c r="A5" s="86" t="inlineStr">
        <is>
          <t>Caminhonete</t>
        </is>
      </c>
      <c r="B5" s="40" t="inlineStr">
        <is>
          <t xml:space="preserve">FORD RANGER </t>
        </is>
      </c>
      <c r="C5" s="145" t="inlineStr">
        <is>
          <t>TN 72</t>
        </is>
      </c>
      <c r="D5" s="86" t="inlineStr">
        <is>
          <t>Sonda</t>
        </is>
      </c>
      <c r="E5" s="86" t="inlineStr">
        <is>
          <t>CKS</t>
        </is>
      </c>
      <c r="F5" s="86" t="inlineStr">
        <is>
          <t>FXD9A18</t>
        </is>
      </c>
      <c r="G5" s="86" t="inlineStr">
        <is>
          <t>CARAJÁS</t>
        </is>
      </c>
      <c r="H5" s="87" t="inlineStr">
        <is>
          <t>RAIMUNDO CHARLES</t>
        </is>
      </c>
      <c r="I5" s="88" t="n">
        <v>45835</v>
      </c>
      <c r="J5" s="89" t="n">
        <v>97782</v>
      </c>
      <c r="K5" s="89" t="n">
        <v>98698</v>
      </c>
      <c r="L5" s="119" t="inlineStr">
        <is>
          <t>17/07/2025</t>
        </is>
      </c>
      <c r="M5" s="143" t="inlineStr">
        <is>
          <t>ok</t>
        </is>
      </c>
      <c r="N5" s="135" t="inlineStr">
        <is>
          <t>24/07/2025</t>
        </is>
      </c>
    </row>
    <row r="6">
      <c r="A6" s="86" t="inlineStr">
        <is>
          <t>Caminhonete</t>
        </is>
      </c>
      <c r="B6" s="40" t="inlineStr">
        <is>
          <t>Hillux</t>
        </is>
      </c>
      <c r="C6" s="145" t="inlineStr">
        <is>
          <t>TN 03</t>
        </is>
      </c>
      <c r="D6" s="86" t="inlineStr">
        <is>
          <t>SINAL</t>
        </is>
      </c>
      <c r="E6" s="86" t="inlineStr">
        <is>
          <t>CKS</t>
        </is>
      </c>
      <c r="F6" s="86" t="inlineStr">
        <is>
          <t>TCD7H75</t>
        </is>
      </c>
      <c r="G6" s="86" t="inlineStr">
        <is>
          <t>CARAJÁS</t>
        </is>
      </c>
      <c r="H6" s="87" t="inlineStr">
        <is>
          <t>Lucas</t>
        </is>
      </c>
      <c r="I6" s="88" t="n">
        <v>45835</v>
      </c>
      <c r="J6" s="89" t="n">
        <v>17638</v>
      </c>
      <c r="K6" s="89" t="n">
        <v>18395</v>
      </c>
      <c r="L6" s="126" t="n"/>
      <c r="M6" s="140" t="inlineStr">
        <is>
          <t xml:space="preserve">pendente </t>
        </is>
      </c>
      <c r="N6" s="135" t="inlineStr">
        <is>
          <t>23/07/2025</t>
        </is>
      </c>
    </row>
    <row r="7">
      <c r="A7" s="100" t="inlineStr">
        <is>
          <t>Caminhonete</t>
        </is>
      </c>
      <c r="B7" s="41" t="inlineStr">
        <is>
          <t>NISSAN FRONTIER</t>
        </is>
      </c>
      <c r="C7" s="145" t="inlineStr">
        <is>
          <t>TN 76</t>
        </is>
      </c>
      <c r="D7" s="100" t="inlineStr">
        <is>
          <t>SINAL</t>
        </is>
      </c>
      <c r="E7" s="100" t="inlineStr">
        <is>
          <t>CKS</t>
        </is>
      </c>
      <c r="F7" s="100" t="inlineStr">
        <is>
          <t>TCD7H72</t>
        </is>
      </c>
      <c r="G7" s="100" t="inlineStr">
        <is>
          <t>CARAJÁS</t>
        </is>
      </c>
      <c r="H7" s="101" t="inlineStr">
        <is>
          <t>Renan</t>
        </is>
      </c>
      <c r="I7" s="88" t="n">
        <v>45835</v>
      </c>
      <c r="J7" s="102" t="n">
        <v>14102</v>
      </c>
      <c r="K7" s="102" t="n">
        <v>14445</v>
      </c>
      <c r="L7" s="104" t="n">
        <v>45907</v>
      </c>
      <c r="M7" s="140" t="inlineStr">
        <is>
          <t xml:space="preserve">pendente </t>
        </is>
      </c>
      <c r="N7" s="59" t="inlineStr">
        <is>
          <t>23/07/2025</t>
        </is>
      </c>
    </row>
    <row r="8">
      <c r="A8" s="100" t="inlineStr">
        <is>
          <t>Caminhonete</t>
        </is>
      </c>
      <c r="B8" s="41" t="inlineStr">
        <is>
          <t>HILLUX</t>
        </is>
      </c>
      <c r="C8" s="145" t="inlineStr">
        <is>
          <t>TN 04</t>
        </is>
      </c>
      <c r="D8" s="100" t="inlineStr">
        <is>
          <t>SINAL</t>
        </is>
      </c>
      <c r="E8" s="100" t="inlineStr">
        <is>
          <t>CKS</t>
        </is>
      </c>
      <c r="F8" s="100" t="inlineStr">
        <is>
          <t>TDM2E37</t>
        </is>
      </c>
      <c r="G8" s="100" t="inlineStr">
        <is>
          <t>CARAJÁS</t>
        </is>
      </c>
      <c r="H8" s="101" t="inlineStr">
        <is>
          <t>MATHEUS</t>
        </is>
      </c>
      <c r="I8" s="88" t="n">
        <v>45835</v>
      </c>
      <c r="J8" s="102" t="n">
        <v>9862</v>
      </c>
      <c r="K8" s="102" t="n"/>
      <c r="L8" s="104" t="n">
        <v>45845</v>
      </c>
      <c r="M8" s="140" t="inlineStr">
        <is>
          <t xml:space="preserve">pendente </t>
        </is>
      </c>
      <c r="N8" s="59" t="inlineStr">
        <is>
          <t>22/07/2025</t>
        </is>
      </c>
    </row>
    <row r="9">
      <c r="A9" s="100" t="inlineStr">
        <is>
          <t>Leve</t>
        </is>
      </c>
      <c r="B9" s="41" t="inlineStr">
        <is>
          <t>Tracker</t>
        </is>
      </c>
      <c r="C9" s="145" t="inlineStr">
        <is>
          <t>TN 01</t>
        </is>
      </c>
      <c r="D9" s="100" t="inlineStr">
        <is>
          <t>Localiza</t>
        </is>
      </c>
      <c r="E9" s="100" t="inlineStr">
        <is>
          <t>CKS</t>
        </is>
      </c>
      <c r="F9" s="100" t="inlineStr">
        <is>
          <t>TCO2C15</t>
        </is>
      </c>
      <c r="G9" s="100" t="inlineStr">
        <is>
          <t>CARAJÁS</t>
        </is>
      </c>
      <c r="H9" s="101" t="inlineStr">
        <is>
          <t>Fabricio Maia</t>
        </is>
      </c>
      <c r="I9" s="88" t="n">
        <v>45835</v>
      </c>
      <c r="J9" s="102" t="n">
        <v>17277</v>
      </c>
      <c r="K9" s="102" t="n">
        <v>17907</v>
      </c>
      <c r="L9" s="104" t="n"/>
      <c r="M9" s="140" t="inlineStr">
        <is>
          <t>pendente</t>
        </is>
      </c>
      <c r="N9" s="58" t="inlineStr">
        <is>
          <t>24/07/2025</t>
        </is>
      </c>
    </row>
    <row r="10">
      <c r="A10" s="100" t="inlineStr">
        <is>
          <t>Caminhonete</t>
        </is>
      </c>
      <c r="B10" s="41" t="inlineStr">
        <is>
          <t>Ranger</t>
        </is>
      </c>
      <c r="C10" s="145" t="inlineStr">
        <is>
          <t>TN 74</t>
        </is>
      </c>
      <c r="D10" s="100" t="inlineStr">
        <is>
          <t>SONDA</t>
        </is>
      </c>
      <c r="E10" s="100" t="inlineStr">
        <is>
          <t>CKS</t>
        </is>
      </c>
      <c r="F10" s="100" t="inlineStr">
        <is>
          <t>RDM2E33</t>
        </is>
      </c>
      <c r="G10" s="100" t="inlineStr">
        <is>
          <t>CARAJÁS</t>
        </is>
      </c>
      <c r="H10" s="101" t="inlineStr">
        <is>
          <t>Ederson</t>
        </is>
      </c>
      <c r="I10" s="88" t="n">
        <v>45835</v>
      </c>
      <c r="J10" s="125" t="n"/>
      <c r="K10" s="125" t="n">
        <v>10625</v>
      </c>
      <c r="L10" s="104" t="n">
        <v>45841</v>
      </c>
      <c r="M10" s="140" t="inlineStr">
        <is>
          <t xml:space="preserve">pendente </t>
        </is>
      </c>
      <c r="N10" s="59" t="inlineStr">
        <is>
          <t>21/07/2025</t>
        </is>
      </c>
    </row>
    <row r="11">
      <c r="A11" s="121" t="inlineStr">
        <is>
          <t>Caminhonete</t>
        </is>
      </c>
      <c r="B11" s="122" t="inlineStr">
        <is>
          <t>Hillux</t>
        </is>
      </c>
      <c r="C11" s="146" t="inlineStr">
        <is>
          <t>TN 73</t>
        </is>
      </c>
      <c r="D11" s="121" t="inlineStr">
        <is>
          <t>SINAL</t>
        </is>
      </c>
      <c r="E11" s="121" t="inlineStr">
        <is>
          <t>CKS</t>
        </is>
      </c>
      <c r="F11" s="121" t="inlineStr">
        <is>
          <t>TCD7H73</t>
        </is>
      </c>
      <c r="G11" s="121" t="inlineStr">
        <is>
          <t>CARAJÁS</t>
        </is>
      </c>
      <c r="H11" s="123" t="inlineStr">
        <is>
          <t>William</t>
        </is>
      </c>
      <c r="I11" s="88" t="n">
        <v>45835</v>
      </c>
      <c r="J11" s="125" t="n">
        <v>5861</v>
      </c>
      <c r="K11" s="125" t="n">
        <v>6413</v>
      </c>
      <c r="L11" s="126" t="inlineStr">
        <is>
          <t>18/07/2025</t>
        </is>
      </c>
      <c r="M11" s="143" t="inlineStr">
        <is>
          <t>ok</t>
        </is>
      </c>
      <c r="N11" s="135" t="inlineStr">
        <is>
          <t>24/07/2025</t>
        </is>
      </c>
    </row>
    <row r="12">
      <c r="A12" s="115" t="inlineStr">
        <is>
          <t>Caminhonete</t>
        </is>
      </c>
      <c r="B12" s="116" t="inlineStr">
        <is>
          <t>NISSAN FRONTIER</t>
        </is>
      </c>
      <c r="C12" s="147" t="inlineStr">
        <is>
          <t>TN78</t>
        </is>
      </c>
      <c r="D12" s="115" t="inlineStr">
        <is>
          <t>SONDA</t>
        </is>
      </c>
      <c r="E12" s="115" t="inlineStr">
        <is>
          <t>CKS</t>
        </is>
      </c>
      <c r="F12" s="115" t="inlineStr">
        <is>
          <t xml:space="preserve">FZY4F28 </t>
        </is>
      </c>
      <c r="G12" s="115" t="inlineStr">
        <is>
          <t>CARAJÁS</t>
        </is>
      </c>
      <c r="H12" s="115" t="inlineStr">
        <is>
          <t>Ederson</t>
        </is>
      </c>
      <c r="I12" s="88" t="n">
        <v>45835</v>
      </c>
      <c r="J12" s="118" t="n">
        <v>96813</v>
      </c>
      <c r="K12" s="118" t="n">
        <v>97975</v>
      </c>
      <c r="L12" s="119" t="n">
        <v>45849</v>
      </c>
      <c r="M12" s="140" t="inlineStr">
        <is>
          <t xml:space="preserve">pendente </t>
        </is>
      </c>
      <c r="N12" s="144" t="inlineStr">
        <is>
          <t>22/07/2025</t>
        </is>
      </c>
    </row>
    <row r="13">
      <c r="A13" s="313" t="n"/>
      <c r="B13" s="321" t="n"/>
      <c r="C13" s="321" t="n"/>
      <c r="D13" s="321" t="n"/>
      <c r="E13" s="321" t="n"/>
      <c r="F13" s="321" t="n"/>
      <c r="G13" s="321" t="n"/>
      <c r="H13" s="321" t="n"/>
      <c r="I13" s="321" t="n"/>
      <c r="J13" s="321" t="n"/>
      <c r="K13" s="321" t="n"/>
      <c r="L13" s="321" t="n"/>
      <c r="M13" s="321" t="n"/>
      <c r="N13" s="321" t="n"/>
    </row>
    <row r="14">
      <c r="A14" s="82" t="inlineStr">
        <is>
          <t>Tipo</t>
        </is>
      </c>
      <c r="B14" s="82" t="inlineStr">
        <is>
          <t xml:space="preserve">Modelos </t>
        </is>
      </c>
      <c r="C14" s="82" t="inlineStr">
        <is>
          <t>Tag</t>
        </is>
      </c>
      <c r="D14" s="82" t="inlineStr">
        <is>
          <t>Locadora</t>
        </is>
      </c>
      <c r="E14" s="82" t="inlineStr">
        <is>
          <t>Localidade</t>
        </is>
      </c>
      <c r="F14" s="82" t="inlineStr">
        <is>
          <t>Placa</t>
        </is>
      </c>
      <c r="G14" s="82" t="inlineStr">
        <is>
          <t>SSO</t>
        </is>
      </c>
      <c r="H14" s="82" t="inlineStr">
        <is>
          <t>Condutores</t>
        </is>
      </c>
      <c r="I14" s="82" t="inlineStr">
        <is>
          <t>SEMANA 01</t>
        </is>
      </c>
      <c r="J14" s="82" t="n"/>
      <c r="K14" s="82" t="inlineStr">
        <is>
          <t xml:space="preserve">KM  </t>
        </is>
      </c>
      <c r="L14" s="82" t="n"/>
      <c r="M14" s="82" t="n"/>
      <c r="N14" s="85" t="inlineStr">
        <is>
          <t>Prox. Lavagem</t>
        </is>
      </c>
    </row>
  </sheetData>
  <mergeCells count="1">
    <mergeCell ref="A13:N13"/>
  </mergeCells>
  <pageMargins left="0.7" right="0.7" top="0.75" bottom="0.75" header="0.3" footer="0.3"/>
  <pageSetup orientation="portrait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N14" sqref="N14"/>
    </sheetView>
  </sheetViews>
  <sheetFormatPr baseColWidth="8" defaultRowHeight="14.3"/>
  <cols>
    <col width="20.5" bestFit="1" customWidth="1" min="1" max="1"/>
    <col width="17" bestFit="1" customWidth="1" min="2" max="2"/>
    <col width="9.125" customWidth="1" min="4" max="7"/>
    <col width="20" customWidth="1" min="8" max="8"/>
    <col width="11.625" customWidth="1" min="9" max="9"/>
    <col width="14" customWidth="1" min="10" max="10"/>
    <col width="11.125" customWidth="1" min="11" max="11"/>
    <col width="15.375" customWidth="1" min="12" max="12"/>
    <col width="23.375" customWidth="1" min="13" max="13"/>
    <col width="12.5" customWidth="1" min="14" max="14"/>
  </cols>
  <sheetData>
    <row r="1">
      <c r="A1" s="77" t="inlineStr">
        <is>
          <t xml:space="preserve">Veículos Cadastrados 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9" t="n"/>
      <c r="M1" s="80" t="n"/>
      <c r="N1" s="81" t="n"/>
    </row>
    <row r="2">
      <c r="A2" s="82" t="inlineStr">
        <is>
          <t>Tipo</t>
        </is>
      </c>
      <c r="B2" s="82" t="inlineStr">
        <is>
          <t xml:space="preserve">Modelos </t>
        </is>
      </c>
      <c r="C2" s="82" t="inlineStr">
        <is>
          <t>Tag</t>
        </is>
      </c>
      <c r="D2" s="82" t="inlineStr">
        <is>
          <t>Locadora</t>
        </is>
      </c>
      <c r="E2" s="82" t="inlineStr">
        <is>
          <t>Localidade</t>
        </is>
      </c>
      <c r="F2" s="82" t="inlineStr">
        <is>
          <t>Placa</t>
        </is>
      </c>
      <c r="G2" s="82" t="inlineStr">
        <is>
          <t>SSO</t>
        </is>
      </c>
      <c r="H2" s="82" t="inlineStr">
        <is>
          <t>Condutores</t>
        </is>
      </c>
      <c r="I2" s="82" t="inlineStr">
        <is>
          <t>SEMANA 04</t>
        </is>
      </c>
      <c r="J2" s="82" t="inlineStr">
        <is>
          <t>KM ANTERIOR</t>
        </is>
      </c>
      <c r="K2" s="82" t="inlineStr">
        <is>
          <t>KM  ATUAL</t>
        </is>
      </c>
      <c r="L2" s="83" t="inlineStr">
        <is>
          <t>Ultima lavagem</t>
        </is>
      </c>
      <c r="M2" s="84" t="inlineStr">
        <is>
          <t>lavagem programada S-1</t>
        </is>
      </c>
      <c r="N2" s="85" t="inlineStr">
        <is>
          <t>Prox. Lavagem</t>
        </is>
      </c>
    </row>
    <row r="3">
      <c r="A3" s="86" t="inlineStr">
        <is>
          <t>Caminhonete</t>
        </is>
      </c>
      <c r="B3" s="40" t="inlineStr">
        <is>
          <t>CHEVROLET S10</t>
        </is>
      </c>
      <c r="C3" s="145" t="inlineStr">
        <is>
          <t>TN 29</t>
        </is>
      </c>
      <c r="D3" s="86" t="inlineStr">
        <is>
          <t>Sonda</t>
        </is>
      </c>
      <c r="E3" s="86" t="inlineStr">
        <is>
          <t>CKS</t>
        </is>
      </c>
      <c r="F3" s="86" t="inlineStr">
        <is>
          <t>FXR0F35</t>
        </is>
      </c>
      <c r="G3" s="86" t="inlineStr">
        <is>
          <t>CARAJÁS</t>
        </is>
      </c>
      <c r="H3" s="87" t="inlineStr">
        <is>
          <t>JOÃO TAVARES</t>
        </is>
      </c>
      <c r="I3" s="88" t="n">
        <v>45835</v>
      </c>
      <c r="J3" s="89" t="n">
        <v>162277</v>
      </c>
      <c r="K3" s="89" t="n">
        <v>162857</v>
      </c>
      <c r="L3" s="90" t="inlineStr">
        <is>
          <t>24/07/2025</t>
        </is>
      </c>
      <c r="M3" s="143" t="inlineStr">
        <is>
          <t>ok</t>
        </is>
      </c>
      <c r="N3" s="59" t="inlineStr">
        <is>
          <t>31/07/2025</t>
        </is>
      </c>
    </row>
    <row r="4">
      <c r="A4" s="86" t="inlineStr">
        <is>
          <t>Caminhonete</t>
        </is>
      </c>
      <c r="B4" s="40" t="inlineStr">
        <is>
          <t>Hillux</t>
        </is>
      </c>
      <c r="C4" s="145" t="inlineStr">
        <is>
          <t>TN 31</t>
        </is>
      </c>
      <c r="D4" s="86" t="inlineStr">
        <is>
          <t>SINAL</t>
        </is>
      </c>
      <c r="E4" s="86" t="inlineStr">
        <is>
          <t>CKS</t>
        </is>
      </c>
      <c r="F4" s="86" t="inlineStr">
        <is>
          <t>TCD7I68</t>
        </is>
      </c>
      <c r="G4" s="86" t="inlineStr">
        <is>
          <t>CARAJÁS</t>
        </is>
      </c>
      <c r="H4" s="87" t="inlineStr">
        <is>
          <t>Lucas</t>
        </is>
      </c>
      <c r="I4" s="88" t="n">
        <v>45835</v>
      </c>
      <c r="J4" s="89" t="n">
        <v>20051</v>
      </c>
      <c r="K4" s="89" t="n"/>
      <c r="L4" s="90" t="n">
        <v>45844</v>
      </c>
      <c r="M4" s="140" t="inlineStr">
        <is>
          <t>pendente</t>
        </is>
      </c>
      <c r="N4" s="59" t="inlineStr">
        <is>
          <t>28/07/2025</t>
        </is>
      </c>
    </row>
    <row r="5">
      <c r="A5" s="86" t="inlineStr">
        <is>
          <t>Caminhonete</t>
        </is>
      </c>
      <c r="B5" s="40" t="inlineStr">
        <is>
          <t xml:space="preserve">FORD RANGER </t>
        </is>
      </c>
      <c r="C5" s="145" t="inlineStr">
        <is>
          <t>TN 72</t>
        </is>
      </c>
      <c r="D5" s="86" t="inlineStr">
        <is>
          <t>Sonda</t>
        </is>
      </c>
      <c r="E5" s="86" t="inlineStr">
        <is>
          <t>CKS</t>
        </is>
      </c>
      <c r="F5" s="86" t="inlineStr">
        <is>
          <t>FXD9A18</t>
        </is>
      </c>
      <c r="G5" s="86" t="inlineStr">
        <is>
          <t>CARAJÁS</t>
        </is>
      </c>
      <c r="H5" s="87" t="inlineStr">
        <is>
          <t>RAIMUNDO CHARLES</t>
        </is>
      </c>
      <c r="I5" s="88" t="n">
        <v>45835</v>
      </c>
      <c r="J5" s="89" t="n">
        <v>98698</v>
      </c>
      <c r="K5" s="89" t="n">
        <v>99362</v>
      </c>
      <c r="L5" s="119" t="inlineStr">
        <is>
          <t>17/07/2025</t>
        </is>
      </c>
      <c r="M5" s="140" t="inlineStr">
        <is>
          <t>pendente</t>
        </is>
      </c>
      <c r="N5" s="149" t="inlineStr">
        <is>
          <t>30/07/2-25</t>
        </is>
      </c>
    </row>
    <row r="6">
      <c r="A6" s="86" t="inlineStr">
        <is>
          <t>Caminhonete</t>
        </is>
      </c>
      <c r="B6" s="40" t="inlineStr">
        <is>
          <t>Hillux</t>
        </is>
      </c>
      <c r="C6" s="145" t="inlineStr">
        <is>
          <t>TN 03</t>
        </is>
      </c>
      <c r="D6" s="86" t="inlineStr">
        <is>
          <t>SINAL</t>
        </is>
      </c>
      <c r="E6" s="86" t="inlineStr">
        <is>
          <t>CKS</t>
        </is>
      </c>
      <c r="F6" s="86" t="inlineStr">
        <is>
          <t>TCD7H75</t>
        </is>
      </c>
      <c r="G6" s="86" t="inlineStr">
        <is>
          <t>CARAJÁS</t>
        </is>
      </c>
      <c r="H6" s="87" t="inlineStr">
        <is>
          <t>Lucas</t>
        </is>
      </c>
      <c r="I6" s="88" t="n">
        <v>45835</v>
      </c>
      <c r="J6" s="89" t="n">
        <v>18395</v>
      </c>
      <c r="K6" s="89" t="n">
        <v>18778</v>
      </c>
      <c r="L6" s="148" t="n"/>
      <c r="M6" s="140" t="inlineStr">
        <is>
          <t>pendente</t>
        </is>
      </c>
      <c r="N6" s="149" t="inlineStr">
        <is>
          <t>28/07/2025</t>
        </is>
      </c>
    </row>
    <row r="7">
      <c r="A7" s="100" t="inlineStr">
        <is>
          <t>Caminhonete</t>
        </is>
      </c>
      <c r="B7" s="41" t="inlineStr">
        <is>
          <t>NISSAN FRONTIER</t>
        </is>
      </c>
      <c r="C7" s="145" t="inlineStr">
        <is>
          <t>TN 76</t>
        </is>
      </c>
      <c r="D7" s="100" t="inlineStr">
        <is>
          <t>SINAL</t>
        </is>
      </c>
      <c r="E7" s="100" t="inlineStr">
        <is>
          <t>CKS</t>
        </is>
      </c>
      <c r="F7" s="100" t="inlineStr">
        <is>
          <t>TCD7H72</t>
        </is>
      </c>
      <c r="G7" s="100" t="inlineStr">
        <is>
          <t>CARAJÁS</t>
        </is>
      </c>
      <c r="H7" s="101" t="inlineStr">
        <is>
          <t>Renan</t>
        </is>
      </c>
      <c r="I7" s="88" t="n">
        <v>45835</v>
      </c>
      <c r="J7" s="102" t="n">
        <v>14445</v>
      </c>
      <c r="K7" s="102" t="n">
        <v>14703</v>
      </c>
      <c r="L7" s="104" t="n">
        <v>45907</v>
      </c>
      <c r="M7" s="140" t="inlineStr">
        <is>
          <t>pendente</t>
        </is>
      </c>
      <c r="N7" s="149" t="inlineStr">
        <is>
          <t>29/07/2025</t>
        </is>
      </c>
    </row>
    <row r="8">
      <c r="A8" s="100" t="inlineStr">
        <is>
          <t>Caminhonete</t>
        </is>
      </c>
      <c r="B8" s="41" t="inlineStr">
        <is>
          <t>HILLUX</t>
        </is>
      </c>
      <c r="C8" s="145" t="inlineStr">
        <is>
          <t>TN 04</t>
        </is>
      </c>
      <c r="D8" s="100" t="inlineStr">
        <is>
          <t>SINAL</t>
        </is>
      </c>
      <c r="E8" s="100" t="inlineStr">
        <is>
          <t>CKS</t>
        </is>
      </c>
      <c r="F8" s="100" t="inlineStr">
        <is>
          <t>TDM2E37</t>
        </is>
      </c>
      <c r="G8" s="100" t="inlineStr">
        <is>
          <t>CARAJÁS</t>
        </is>
      </c>
      <c r="H8" s="101" t="inlineStr">
        <is>
          <t>MATHEUS</t>
        </is>
      </c>
      <c r="I8" s="88" t="n">
        <v>45835</v>
      </c>
      <c r="J8" s="102" t="n">
        <v>9862</v>
      </c>
      <c r="K8" s="102" t="n"/>
      <c r="L8" s="104" t="n">
        <v>45845</v>
      </c>
      <c r="M8" s="140" t="inlineStr">
        <is>
          <t xml:space="preserve">pendente </t>
        </is>
      </c>
      <c r="N8" s="59" t="inlineStr">
        <is>
          <t>28/07/2025</t>
        </is>
      </c>
    </row>
    <row r="9">
      <c r="A9" s="100" t="inlineStr">
        <is>
          <t>Leve</t>
        </is>
      </c>
      <c r="B9" s="41" t="inlineStr">
        <is>
          <t>Tracker</t>
        </is>
      </c>
      <c r="C9" s="145" t="inlineStr">
        <is>
          <t>TN 01</t>
        </is>
      </c>
      <c r="D9" s="100" t="inlineStr">
        <is>
          <t>Localiza</t>
        </is>
      </c>
      <c r="E9" s="100" t="inlineStr">
        <is>
          <t>CKS</t>
        </is>
      </c>
      <c r="F9" s="100" t="inlineStr">
        <is>
          <t>TCO2C15</t>
        </is>
      </c>
      <c r="G9" s="100" t="inlineStr">
        <is>
          <t>CARAJÁS</t>
        </is>
      </c>
      <c r="H9" s="101" t="inlineStr">
        <is>
          <t>Fabricio Maia</t>
        </is>
      </c>
      <c r="I9" s="88" t="n">
        <v>45835</v>
      </c>
      <c r="J9" s="102" t="n">
        <v>17907</v>
      </c>
      <c r="K9" s="102" t="n"/>
      <c r="L9" s="104" t="n"/>
      <c r="M9" s="140" t="inlineStr">
        <is>
          <t>pendente</t>
        </is>
      </c>
      <c r="N9" s="58" t="inlineStr">
        <is>
          <t>30/07/2025</t>
        </is>
      </c>
    </row>
    <row r="10">
      <c r="A10" s="100" t="inlineStr">
        <is>
          <t>Caminhonete</t>
        </is>
      </c>
      <c r="B10" s="41" t="inlineStr">
        <is>
          <t>Ranger</t>
        </is>
      </c>
      <c r="C10" s="145" t="inlineStr">
        <is>
          <t>TN 74</t>
        </is>
      </c>
      <c r="D10" s="100" t="inlineStr">
        <is>
          <t>SONDA</t>
        </is>
      </c>
      <c r="E10" s="100" t="inlineStr">
        <is>
          <t>CKS</t>
        </is>
      </c>
      <c r="F10" s="100" t="inlineStr">
        <is>
          <t>RDM2E33</t>
        </is>
      </c>
      <c r="G10" s="100" t="inlineStr">
        <is>
          <t>CARAJÁS</t>
        </is>
      </c>
      <c r="H10" s="101" t="inlineStr">
        <is>
          <t>Ederson</t>
        </is>
      </c>
      <c r="I10" s="88" t="n">
        <v>45835</v>
      </c>
      <c r="J10" s="125" t="n">
        <v>10625</v>
      </c>
      <c r="K10" s="125" t="n">
        <v>11190</v>
      </c>
      <c r="L10" s="104" t="inlineStr">
        <is>
          <t>21/07/2025</t>
        </is>
      </c>
      <c r="M10" s="143" t="inlineStr">
        <is>
          <t>ok</t>
        </is>
      </c>
      <c r="N10" s="59" t="inlineStr">
        <is>
          <t>29/07/2025</t>
        </is>
      </c>
    </row>
    <row r="11">
      <c r="A11" s="121" t="inlineStr">
        <is>
          <t>Caminhonete</t>
        </is>
      </c>
      <c r="B11" s="122" t="inlineStr">
        <is>
          <t>Hillux</t>
        </is>
      </c>
      <c r="C11" s="146" t="inlineStr">
        <is>
          <t>TN 73</t>
        </is>
      </c>
      <c r="D11" s="121" t="inlineStr">
        <is>
          <t>SINAL</t>
        </is>
      </c>
      <c r="E11" s="121" t="inlineStr">
        <is>
          <t>CKS</t>
        </is>
      </c>
      <c r="F11" s="121" t="inlineStr">
        <is>
          <t>TCD7H73</t>
        </is>
      </c>
      <c r="G11" s="121" t="inlineStr">
        <is>
          <t>CARAJÁS</t>
        </is>
      </c>
      <c r="H11" s="123" t="inlineStr">
        <is>
          <t>William</t>
        </is>
      </c>
      <c r="I11" s="88" t="n">
        <v>45835</v>
      </c>
      <c r="J11" s="125" t="n">
        <v>6413</v>
      </c>
      <c r="K11" s="125" t="n">
        <v>6548</v>
      </c>
      <c r="L11" s="126" t="inlineStr">
        <is>
          <t>18/07/2025</t>
        </is>
      </c>
      <c r="M11" s="140" t="inlineStr">
        <is>
          <t>pendente</t>
        </is>
      </c>
      <c r="N11" s="149" t="inlineStr">
        <is>
          <t>31/07/2025</t>
        </is>
      </c>
    </row>
    <row r="12">
      <c r="A12" s="115" t="inlineStr">
        <is>
          <t>Caminhonete</t>
        </is>
      </c>
      <c r="B12" s="116" t="inlineStr">
        <is>
          <t>NISSAN FRONTIER</t>
        </is>
      </c>
      <c r="C12" s="147" t="inlineStr">
        <is>
          <t>TN78</t>
        </is>
      </c>
      <c r="D12" s="115" t="inlineStr">
        <is>
          <t>SONDA</t>
        </is>
      </c>
      <c r="E12" s="115" t="inlineStr">
        <is>
          <t>CKS</t>
        </is>
      </c>
      <c r="F12" s="115" t="inlineStr">
        <is>
          <t xml:space="preserve">FZY4F28 </t>
        </is>
      </c>
      <c r="G12" s="115" t="inlineStr">
        <is>
          <t>CARAJÁS</t>
        </is>
      </c>
      <c r="H12" s="115" t="inlineStr">
        <is>
          <t>Ederson</t>
        </is>
      </c>
      <c r="I12" s="88" t="n">
        <v>45835</v>
      </c>
      <c r="J12" s="118" t="n">
        <v>97975</v>
      </c>
      <c r="K12" s="125" t="n">
        <v>98772</v>
      </c>
      <c r="L12" s="119" t="inlineStr">
        <is>
          <t>21/07/2022</t>
        </is>
      </c>
      <c r="M12" s="143" t="inlineStr">
        <is>
          <t>ok</t>
        </is>
      </c>
      <c r="N12" s="144" t="inlineStr">
        <is>
          <t>28/07/2025</t>
        </is>
      </c>
    </row>
    <row r="13">
      <c r="A13" s="313" t="n"/>
      <c r="B13" s="321" t="n"/>
      <c r="C13" s="321" t="n"/>
      <c r="D13" s="321" t="n"/>
      <c r="E13" s="321" t="n"/>
      <c r="F13" s="321" t="n"/>
      <c r="G13" s="321" t="n"/>
      <c r="H13" s="321" t="n"/>
      <c r="I13" s="321" t="n"/>
      <c r="J13" s="321" t="n"/>
      <c r="K13" s="321" t="n"/>
      <c r="L13" s="321" t="n"/>
      <c r="M13" s="321" t="n"/>
      <c r="N13" s="321" t="n"/>
    </row>
    <row r="14">
      <c r="A14" s="82" t="inlineStr">
        <is>
          <t>Tipo</t>
        </is>
      </c>
      <c r="B14" s="82" t="inlineStr">
        <is>
          <t xml:space="preserve">Modelos </t>
        </is>
      </c>
      <c r="C14" s="82" t="inlineStr">
        <is>
          <t>Tag</t>
        </is>
      </c>
      <c r="D14" s="82" t="inlineStr">
        <is>
          <t>Locadora</t>
        </is>
      </c>
      <c r="E14" s="82" t="inlineStr">
        <is>
          <t>Localidade</t>
        </is>
      </c>
      <c r="F14" s="82" t="inlineStr">
        <is>
          <t>Placa</t>
        </is>
      </c>
      <c r="G14" s="82" t="inlineStr">
        <is>
          <t>SSO</t>
        </is>
      </c>
      <c r="H14" s="82" t="inlineStr">
        <is>
          <t>Condutores</t>
        </is>
      </c>
      <c r="I14" s="82" t="inlineStr">
        <is>
          <t>SEMANA 01</t>
        </is>
      </c>
      <c r="J14" s="82" t="n"/>
      <c r="K14" s="82" t="inlineStr">
        <is>
          <t xml:space="preserve">KM  </t>
        </is>
      </c>
      <c r="L14" s="82" t="n"/>
      <c r="M14" s="82" t="n"/>
      <c r="N14" s="85" t="inlineStr">
        <is>
          <t>Prox. Lavagem</t>
        </is>
      </c>
    </row>
  </sheetData>
  <mergeCells count="1">
    <mergeCell ref="A13:N13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M18" sqref="M18"/>
    </sheetView>
  </sheetViews>
  <sheetFormatPr baseColWidth="8" defaultRowHeight="14.3"/>
  <cols>
    <col width="20.5" bestFit="1" customWidth="1" min="1" max="1"/>
    <col width="17" bestFit="1" customWidth="1" min="2" max="2"/>
    <col width="11.625" bestFit="1" customWidth="1" min="9" max="9"/>
    <col width="11.125" bestFit="1" customWidth="1" min="11" max="11"/>
    <col width="15.375" bestFit="1" customWidth="1" min="12" max="12"/>
    <col width="23.375" bestFit="1" customWidth="1" min="13" max="13"/>
    <col width="14.375" bestFit="1" customWidth="1" min="14" max="14"/>
  </cols>
  <sheetData>
    <row r="1">
      <c r="A1" s="77" t="inlineStr">
        <is>
          <t xml:space="preserve">Veículos Cadastrados 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9" t="n"/>
      <c r="M1" s="80" t="n"/>
      <c r="N1" s="81" t="n"/>
    </row>
    <row r="2">
      <c r="A2" s="82" t="inlineStr">
        <is>
          <t>Tipo</t>
        </is>
      </c>
      <c r="B2" s="82" t="inlineStr">
        <is>
          <t xml:space="preserve">Modelos </t>
        </is>
      </c>
      <c r="C2" s="82" t="inlineStr">
        <is>
          <t>Tag</t>
        </is>
      </c>
      <c r="D2" s="82" t="inlineStr">
        <is>
          <t>Locadora</t>
        </is>
      </c>
      <c r="E2" s="82" t="inlineStr">
        <is>
          <t>Localidade</t>
        </is>
      </c>
      <c r="F2" s="82" t="inlineStr">
        <is>
          <t>Placa</t>
        </is>
      </c>
      <c r="G2" s="82" t="inlineStr">
        <is>
          <t>SSO</t>
        </is>
      </c>
      <c r="H2" s="82" t="inlineStr">
        <is>
          <t>Condutores</t>
        </is>
      </c>
      <c r="I2" s="82" t="inlineStr">
        <is>
          <t>SEMANA 01</t>
        </is>
      </c>
      <c r="J2" s="82" t="inlineStr">
        <is>
          <t>KM ANTERIOR</t>
        </is>
      </c>
      <c r="K2" s="82" t="inlineStr">
        <is>
          <t>KM  ATUAL</t>
        </is>
      </c>
      <c r="L2" s="83" t="inlineStr">
        <is>
          <t>Ultima lavagem</t>
        </is>
      </c>
      <c r="M2" s="84" t="inlineStr">
        <is>
          <t>lavagem programada S-1</t>
        </is>
      </c>
      <c r="N2" s="85" t="inlineStr">
        <is>
          <t>Prox. Lavagem</t>
        </is>
      </c>
    </row>
    <row r="3">
      <c r="A3" s="86" t="inlineStr">
        <is>
          <t>Caminhonete</t>
        </is>
      </c>
      <c r="B3" s="40" t="inlineStr">
        <is>
          <t>CHEVROLET S10</t>
        </is>
      </c>
      <c r="C3" s="145" t="inlineStr">
        <is>
          <t>TN 29</t>
        </is>
      </c>
      <c r="D3" s="86" t="inlineStr">
        <is>
          <t>Sonda</t>
        </is>
      </c>
      <c r="E3" s="86" t="inlineStr">
        <is>
          <t>CKS</t>
        </is>
      </c>
      <c r="F3" s="86" t="inlineStr">
        <is>
          <t>FXR0F35</t>
        </is>
      </c>
      <c r="G3" s="86" t="inlineStr">
        <is>
          <t>CARAJÁS</t>
        </is>
      </c>
      <c r="H3" s="87" t="inlineStr">
        <is>
          <t>JOÃO TAVARES</t>
        </is>
      </c>
      <c r="I3" s="88" t="n">
        <v>45835</v>
      </c>
      <c r="J3" s="89" t="n">
        <v>162857</v>
      </c>
      <c r="K3" s="89" t="n">
        <v>163626</v>
      </c>
      <c r="L3" s="90" t="inlineStr">
        <is>
          <t>24/07/2025</t>
        </is>
      </c>
      <c r="M3" s="140" t="inlineStr">
        <is>
          <t>pendente</t>
        </is>
      </c>
      <c r="N3" s="73" t="n">
        <v>45874</v>
      </c>
    </row>
    <row r="4">
      <c r="A4" s="86" t="inlineStr">
        <is>
          <t>Caminhonete</t>
        </is>
      </c>
      <c r="B4" s="40" t="inlineStr">
        <is>
          <t>Hillux</t>
        </is>
      </c>
      <c r="C4" s="145" t="inlineStr">
        <is>
          <t>TN 31</t>
        </is>
      </c>
      <c r="D4" s="86" t="inlineStr">
        <is>
          <t>SINAL</t>
        </is>
      </c>
      <c r="E4" s="86" t="inlineStr">
        <is>
          <t>CKS</t>
        </is>
      </c>
      <c r="F4" s="86" t="inlineStr">
        <is>
          <t>TCD7I68</t>
        </is>
      </c>
      <c r="G4" s="86" t="inlineStr">
        <is>
          <t>CARAJÁS</t>
        </is>
      </c>
      <c r="H4" s="87" t="inlineStr">
        <is>
          <t>Lucas</t>
        </is>
      </c>
      <c r="I4" s="88" t="n">
        <v>45835</v>
      </c>
      <c r="J4" s="89" t="n">
        <v>20051</v>
      </c>
      <c r="K4" s="89" t="n">
        <v>20862</v>
      </c>
      <c r="L4" s="90" t="n">
        <v>45844</v>
      </c>
      <c r="M4" s="140" t="inlineStr">
        <is>
          <t>pendente</t>
        </is>
      </c>
      <c r="N4" s="73" t="n">
        <v>45871</v>
      </c>
    </row>
    <row r="5">
      <c r="A5" s="86" t="inlineStr">
        <is>
          <t>Caminhonete</t>
        </is>
      </c>
      <c r="B5" s="40" t="inlineStr">
        <is>
          <t xml:space="preserve">FORD RANGER </t>
        </is>
      </c>
      <c r="C5" s="145" t="inlineStr">
        <is>
          <t>TN 72</t>
        </is>
      </c>
      <c r="D5" s="86" t="inlineStr">
        <is>
          <t>Sonda</t>
        </is>
      </c>
      <c r="E5" s="86" t="inlineStr">
        <is>
          <t>CKS</t>
        </is>
      </c>
      <c r="F5" s="86" t="inlineStr">
        <is>
          <t>FXD9A18</t>
        </is>
      </c>
      <c r="G5" s="86" t="inlineStr">
        <is>
          <t>CARAJÁS</t>
        </is>
      </c>
      <c r="H5" s="87" t="inlineStr">
        <is>
          <t>RAIMUNDO CHARLES</t>
        </is>
      </c>
      <c r="I5" s="88" t="n">
        <v>45835</v>
      </c>
      <c r="J5" s="89" t="n">
        <v>99362</v>
      </c>
      <c r="K5" s="89" t="n">
        <v>99873</v>
      </c>
      <c r="L5" s="119" t="n">
        <v>45855</v>
      </c>
      <c r="M5" s="140" t="inlineStr">
        <is>
          <t>pendente</t>
        </is>
      </c>
      <c r="N5" s="159" t="n">
        <v>45873</v>
      </c>
    </row>
    <row r="6">
      <c r="A6" s="86" t="inlineStr">
        <is>
          <t>Caminhonete</t>
        </is>
      </c>
      <c r="B6" s="40" t="inlineStr">
        <is>
          <t>Hillux</t>
        </is>
      </c>
      <c r="C6" s="145" t="inlineStr">
        <is>
          <t>TN 03</t>
        </is>
      </c>
      <c r="D6" s="86" t="inlineStr">
        <is>
          <t>SINAL</t>
        </is>
      </c>
      <c r="E6" s="86" t="inlineStr">
        <is>
          <t>CKS</t>
        </is>
      </c>
      <c r="F6" s="86" t="inlineStr">
        <is>
          <t>TCD7H75</t>
        </is>
      </c>
      <c r="G6" s="86" t="inlineStr">
        <is>
          <t>CARAJÁS</t>
        </is>
      </c>
      <c r="H6" s="87" t="inlineStr">
        <is>
          <t>Lucas</t>
        </is>
      </c>
      <c r="I6" s="88" t="n">
        <v>45835</v>
      </c>
      <c r="J6" s="89" t="n">
        <v>18778</v>
      </c>
      <c r="K6" s="89" t="n">
        <v>18957</v>
      </c>
      <c r="L6" s="148" t="n"/>
      <c r="M6" s="140" t="inlineStr">
        <is>
          <t>pendente</t>
        </is>
      </c>
      <c r="N6" s="159" t="n">
        <v>45871</v>
      </c>
    </row>
    <row r="7">
      <c r="A7" s="100" t="inlineStr">
        <is>
          <t>Caminhonete</t>
        </is>
      </c>
      <c r="B7" s="41" t="inlineStr">
        <is>
          <t>NISSAN FRONTIER</t>
        </is>
      </c>
      <c r="C7" s="145" t="inlineStr">
        <is>
          <t>TN 76</t>
        </is>
      </c>
      <c r="D7" s="100" t="inlineStr">
        <is>
          <t>SINAL</t>
        </is>
      </c>
      <c r="E7" s="100" t="inlineStr">
        <is>
          <t>CKS</t>
        </is>
      </c>
      <c r="F7" s="100" t="inlineStr">
        <is>
          <t>TCD7H72</t>
        </is>
      </c>
      <c r="G7" s="100" t="inlineStr">
        <is>
          <t>CARAJÁS</t>
        </is>
      </c>
      <c r="H7" s="101" t="inlineStr">
        <is>
          <t>Renan</t>
        </is>
      </c>
      <c r="I7" s="88" t="n">
        <v>45835</v>
      </c>
      <c r="J7" s="151" t="n">
        <v>14703</v>
      </c>
      <c r="K7" s="151" t="n">
        <v>14974</v>
      </c>
      <c r="L7" s="156" t="n">
        <v>45870</v>
      </c>
      <c r="M7" s="143" t="inlineStr">
        <is>
          <t>01/08 - 28/07 - ok</t>
        </is>
      </c>
      <c r="N7" s="73" t="n">
        <v>45877</v>
      </c>
    </row>
    <row r="8">
      <c r="A8" s="100" t="inlineStr">
        <is>
          <t>Caminhonete</t>
        </is>
      </c>
      <c r="B8" s="41" t="inlineStr">
        <is>
          <t>HILLUX</t>
        </is>
      </c>
      <c r="C8" s="145" t="inlineStr">
        <is>
          <t>TN 04</t>
        </is>
      </c>
      <c r="D8" s="100" t="inlineStr">
        <is>
          <t>SINAL</t>
        </is>
      </c>
      <c r="E8" s="100" t="inlineStr">
        <is>
          <t>CKS</t>
        </is>
      </c>
      <c r="F8" s="100" t="inlineStr">
        <is>
          <t>TDM2E37</t>
        </is>
      </c>
      <c r="G8" s="100" t="inlineStr">
        <is>
          <t>CARAJÁS</t>
        </is>
      </c>
      <c r="H8" s="101" t="inlineStr">
        <is>
          <t>MATHEUS</t>
        </is>
      </c>
      <c r="I8" s="88" t="n">
        <v>45835</v>
      </c>
      <c r="J8" s="153" t="n">
        <v>9862</v>
      </c>
      <c r="K8" s="152" t="n">
        <v>11413</v>
      </c>
      <c r="L8" s="156" t="n">
        <v>45845</v>
      </c>
      <c r="M8" s="140" t="inlineStr">
        <is>
          <t xml:space="preserve">pendente </t>
        </is>
      </c>
      <c r="N8" s="73" t="n">
        <v>45872</v>
      </c>
    </row>
    <row r="9">
      <c r="A9" s="100" t="inlineStr">
        <is>
          <t>Leve</t>
        </is>
      </c>
      <c r="B9" s="41" t="inlineStr">
        <is>
          <t>Tracker</t>
        </is>
      </c>
      <c r="C9" s="145" t="inlineStr">
        <is>
          <t>TN 01</t>
        </is>
      </c>
      <c r="D9" s="100" t="inlineStr">
        <is>
          <t>Localiza</t>
        </is>
      </c>
      <c r="E9" s="100" t="inlineStr">
        <is>
          <t>CKS</t>
        </is>
      </c>
      <c r="F9" s="100" t="inlineStr">
        <is>
          <t>TCO2C15</t>
        </is>
      </c>
      <c r="G9" s="100" t="inlineStr">
        <is>
          <t>CARAJÁS</t>
        </is>
      </c>
      <c r="H9" s="101" t="inlineStr">
        <is>
          <t>Fabricio Maia</t>
        </is>
      </c>
      <c r="I9" s="88" t="n">
        <v>45835</v>
      </c>
      <c r="J9" s="154" t="n">
        <v>17907</v>
      </c>
      <c r="K9" s="152" t="n">
        <v>18281</v>
      </c>
      <c r="L9" s="156" t="n"/>
      <c r="M9" s="140" t="inlineStr">
        <is>
          <t>pendente</t>
        </is>
      </c>
      <c r="N9" s="73" t="n"/>
    </row>
    <row r="10">
      <c r="A10" s="100" t="inlineStr">
        <is>
          <t>Caminhonete</t>
        </is>
      </c>
      <c r="B10" s="41" t="inlineStr">
        <is>
          <t>Ranger</t>
        </is>
      </c>
      <c r="C10" s="145" t="inlineStr">
        <is>
          <t>TN 74</t>
        </is>
      </c>
      <c r="D10" s="100" t="inlineStr">
        <is>
          <t>SONDA</t>
        </is>
      </c>
      <c r="E10" s="100" t="inlineStr">
        <is>
          <t>CKS</t>
        </is>
      </c>
      <c r="F10" s="100" t="inlineStr">
        <is>
          <t>RDM2E33</t>
        </is>
      </c>
      <c r="G10" s="100" t="inlineStr">
        <is>
          <t>CARAJÁS</t>
        </is>
      </c>
      <c r="H10" s="101" t="inlineStr">
        <is>
          <t>Ederson</t>
        </is>
      </c>
      <c r="I10" s="150" t="n">
        <v>45835</v>
      </c>
      <c r="J10" s="155" t="n">
        <v>11190</v>
      </c>
      <c r="K10" s="118" t="n">
        <v>11414</v>
      </c>
      <c r="L10" s="156" t="n">
        <v>45870</v>
      </c>
      <c r="M10" s="143" t="inlineStr">
        <is>
          <t>01/08 - 28/07 - ok</t>
        </is>
      </c>
      <c r="N10" s="73" t="n">
        <v>45877</v>
      </c>
    </row>
    <row r="11">
      <c r="A11" s="121" t="inlineStr">
        <is>
          <t>Caminhonete</t>
        </is>
      </c>
      <c r="B11" s="122" t="inlineStr">
        <is>
          <t>Hillux</t>
        </is>
      </c>
      <c r="C11" s="146" t="inlineStr">
        <is>
          <t>TN 73</t>
        </is>
      </c>
      <c r="D11" s="121" t="inlineStr">
        <is>
          <t>SINAL</t>
        </is>
      </c>
      <c r="E11" s="121" t="inlineStr">
        <is>
          <t>CKS</t>
        </is>
      </c>
      <c r="F11" s="121" t="inlineStr">
        <is>
          <t>TCD7H73</t>
        </is>
      </c>
      <c r="G11" s="121" t="inlineStr">
        <is>
          <t>CARAJÁS</t>
        </is>
      </c>
      <c r="H11" s="123" t="inlineStr">
        <is>
          <t>William</t>
        </is>
      </c>
      <c r="I11" s="150" t="n">
        <v>45835</v>
      </c>
      <c r="J11" s="155" t="n">
        <v>6548</v>
      </c>
      <c r="K11" s="118" t="n"/>
      <c r="L11" s="157" t="inlineStr">
        <is>
          <t>18/07/2025</t>
        </is>
      </c>
      <c r="M11" s="140" t="inlineStr">
        <is>
          <t>pendente</t>
        </is>
      </c>
      <c r="N11" s="159" t="n">
        <v>45876</v>
      </c>
    </row>
    <row r="12">
      <c r="A12" s="115" t="inlineStr">
        <is>
          <t>Caminhonete</t>
        </is>
      </c>
      <c r="B12" s="116" t="inlineStr">
        <is>
          <t>NISSAN FRONTIER</t>
        </is>
      </c>
      <c r="C12" s="147" t="inlineStr">
        <is>
          <t>TN78</t>
        </is>
      </c>
      <c r="D12" s="115" t="inlineStr">
        <is>
          <t>SONDA</t>
        </is>
      </c>
      <c r="E12" s="115" t="inlineStr">
        <is>
          <t>CKS</t>
        </is>
      </c>
      <c r="F12" s="115" t="inlineStr">
        <is>
          <t xml:space="preserve">FZY4F28 </t>
        </is>
      </c>
      <c r="G12" s="115" t="inlineStr">
        <is>
          <t>CARAJÁS</t>
        </is>
      </c>
      <c r="H12" s="115" t="inlineStr">
        <is>
          <t>Ederson</t>
        </is>
      </c>
      <c r="I12" s="150" t="n">
        <v>45835</v>
      </c>
      <c r="J12" s="155" t="n">
        <v>98772</v>
      </c>
      <c r="K12" s="118" t="n">
        <v>99676</v>
      </c>
      <c r="L12" s="158" t="n">
        <v>44770</v>
      </c>
      <c r="M12" s="143" t="inlineStr">
        <is>
          <t>ok</t>
        </is>
      </c>
      <c r="N12" s="160" t="n">
        <v>45873</v>
      </c>
    </row>
    <row r="13">
      <c r="A13" s="313" t="n"/>
      <c r="B13" s="321" t="n"/>
      <c r="C13" s="321" t="n"/>
      <c r="D13" s="321" t="n"/>
      <c r="E13" s="321" t="n"/>
      <c r="F13" s="321" t="n"/>
      <c r="G13" s="321" t="n"/>
      <c r="H13" s="321" t="n"/>
      <c r="I13" s="321" t="n"/>
      <c r="J13" s="321" t="n"/>
      <c r="K13" s="321" t="n"/>
      <c r="L13" s="321" t="n"/>
      <c r="M13" s="321" t="n"/>
      <c r="N13" s="321" t="n"/>
    </row>
    <row r="14">
      <c r="A14" s="82" t="inlineStr">
        <is>
          <t>Tipo</t>
        </is>
      </c>
      <c r="B14" s="82" t="inlineStr">
        <is>
          <t xml:space="preserve">Modelos </t>
        </is>
      </c>
      <c r="C14" s="82" t="inlineStr">
        <is>
          <t>Tag</t>
        </is>
      </c>
      <c r="D14" s="82" t="inlineStr">
        <is>
          <t>Locadora</t>
        </is>
      </c>
      <c r="E14" s="82" t="inlineStr">
        <is>
          <t>Localidade</t>
        </is>
      </c>
      <c r="F14" s="82" t="inlineStr">
        <is>
          <t>Placa</t>
        </is>
      </c>
      <c r="G14" s="82" t="inlineStr">
        <is>
          <t>SSO</t>
        </is>
      </c>
      <c r="H14" s="82" t="inlineStr">
        <is>
          <t>Condutores</t>
        </is>
      </c>
      <c r="I14" s="82" t="inlineStr">
        <is>
          <t>SEMANA 01</t>
        </is>
      </c>
      <c r="J14" s="82" t="n"/>
      <c r="K14" s="82" t="inlineStr">
        <is>
          <t xml:space="preserve">KM  </t>
        </is>
      </c>
      <c r="L14" s="82" t="n"/>
      <c r="M14" s="82" t="n"/>
      <c r="N14" s="85" t="inlineStr">
        <is>
          <t>Prox. Lavagem</t>
        </is>
      </c>
    </row>
    <row r="15"/>
    <row r="16"/>
    <row r="17"/>
    <row r="18"/>
    <row r="19">
      <c r="A19" s="82" t="inlineStr">
        <is>
          <t>Tag</t>
        </is>
      </c>
      <c r="B19" s="85" t="inlineStr">
        <is>
          <t>Prox. Lavagem</t>
        </is>
      </c>
    </row>
    <row r="20">
      <c r="A20" s="145" t="inlineStr">
        <is>
          <t>TN 29</t>
        </is>
      </c>
      <c r="B20" s="73" t="n">
        <v>45874</v>
      </c>
    </row>
    <row r="21">
      <c r="A21" s="145" t="inlineStr">
        <is>
          <t>TN 31</t>
        </is>
      </c>
      <c r="B21" s="73" t="n">
        <v>45871</v>
      </c>
    </row>
    <row r="22">
      <c r="A22" s="145" t="inlineStr">
        <is>
          <t>TN 72</t>
        </is>
      </c>
      <c r="B22" s="159" t="n">
        <v>45873</v>
      </c>
    </row>
    <row r="23">
      <c r="A23" s="145" t="inlineStr">
        <is>
          <t>TN 03</t>
        </is>
      </c>
      <c r="B23" s="159" t="n">
        <v>45871</v>
      </c>
    </row>
    <row r="24">
      <c r="A24" s="145" t="inlineStr">
        <is>
          <t>TN 76</t>
        </is>
      </c>
      <c r="B24" s="73" t="n">
        <v>45877</v>
      </c>
    </row>
    <row r="25">
      <c r="A25" s="145" t="inlineStr">
        <is>
          <t>TN 04</t>
        </is>
      </c>
      <c r="B25" s="73" t="n">
        <v>45872</v>
      </c>
    </row>
    <row r="26">
      <c r="A26" s="145" t="inlineStr">
        <is>
          <t>TN 74</t>
        </is>
      </c>
      <c r="B26" s="73" t="n">
        <v>45877</v>
      </c>
    </row>
    <row r="27">
      <c r="A27" s="146" t="inlineStr">
        <is>
          <t>TN 73</t>
        </is>
      </c>
      <c r="B27" s="159" t="n">
        <v>45876</v>
      </c>
    </row>
    <row r="28">
      <c r="A28" s="147" t="inlineStr">
        <is>
          <t>TN78</t>
        </is>
      </c>
      <c r="B28" s="160" t="n">
        <v>45873</v>
      </c>
    </row>
  </sheetData>
  <mergeCells count="1">
    <mergeCell ref="A13:N13"/>
  </mergeCells>
  <pageMargins left="0.7" right="0.7" top="0.75" bottom="0.75" header="0.3" footer="0.3"/>
  <pageSetup orientation="portrait" paperSize="9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L10" sqref="L10:L12"/>
    </sheetView>
  </sheetViews>
  <sheetFormatPr baseColWidth="8" defaultRowHeight="14.3"/>
  <cols>
    <col width="20.5" bestFit="1" customWidth="1" min="1" max="1"/>
    <col width="20" bestFit="1" customWidth="1" min="8" max="8"/>
    <col width="11.625" bestFit="1" customWidth="1" min="9" max="9"/>
    <col width="15.375" bestFit="1" customWidth="1" min="12" max="12"/>
    <col width="23.375" bestFit="1" customWidth="1" min="13" max="13"/>
    <col width="14.375" bestFit="1" customWidth="1" min="14" max="14"/>
  </cols>
  <sheetData>
    <row r="1">
      <c r="A1" s="77" t="inlineStr">
        <is>
          <t xml:space="preserve">Veículos Cadastrados 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9" t="n"/>
      <c r="M1" s="80" t="n"/>
      <c r="N1" s="81" t="n"/>
    </row>
    <row r="2">
      <c r="A2" s="82" t="inlineStr">
        <is>
          <t>Tipo</t>
        </is>
      </c>
      <c r="B2" s="82" t="inlineStr">
        <is>
          <t xml:space="preserve">Modelos </t>
        </is>
      </c>
      <c r="C2" s="82" t="inlineStr">
        <is>
          <t>Tag</t>
        </is>
      </c>
      <c r="D2" s="82" t="inlineStr">
        <is>
          <t>Locadora</t>
        </is>
      </c>
      <c r="E2" s="82" t="inlineStr">
        <is>
          <t>Localidade</t>
        </is>
      </c>
      <c r="F2" s="82" t="inlineStr">
        <is>
          <t>Placa</t>
        </is>
      </c>
      <c r="G2" s="82" t="inlineStr">
        <is>
          <t>SSO</t>
        </is>
      </c>
      <c r="H2" s="82" t="inlineStr">
        <is>
          <t>Condutores</t>
        </is>
      </c>
      <c r="I2" s="82" t="inlineStr">
        <is>
          <t>SEMANA 02</t>
        </is>
      </c>
      <c r="J2" s="82" t="inlineStr">
        <is>
          <t>KM ANTERIOR</t>
        </is>
      </c>
      <c r="K2" s="82" t="inlineStr">
        <is>
          <t>KM  ATUAL</t>
        </is>
      </c>
      <c r="L2" s="83" t="inlineStr">
        <is>
          <t>Ultima lavagem</t>
        </is>
      </c>
      <c r="M2" s="84" t="inlineStr">
        <is>
          <t>lavagem programada S-1</t>
        </is>
      </c>
      <c r="N2" s="85" t="inlineStr">
        <is>
          <t>Prox. Lavagem</t>
        </is>
      </c>
    </row>
    <row r="3">
      <c r="A3" s="86" t="inlineStr">
        <is>
          <t>Caminhonete</t>
        </is>
      </c>
      <c r="B3" s="40" t="inlineStr">
        <is>
          <t>CHEVROLET S10</t>
        </is>
      </c>
      <c r="C3" s="145" t="inlineStr">
        <is>
          <t>TN 29</t>
        </is>
      </c>
      <c r="D3" s="86" t="inlineStr">
        <is>
          <t>Sonda</t>
        </is>
      </c>
      <c r="E3" s="86" t="inlineStr">
        <is>
          <t>CKS</t>
        </is>
      </c>
      <c r="F3" s="86" t="inlineStr">
        <is>
          <t>FXR0F35</t>
        </is>
      </c>
      <c r="G3" s="86" t="inlineStr">
        <is>
          <t>CARAJÁS</t>
        </is>
      </c>
      <c r="H3" s="87" t="inlineStr">
        <is>
          <t>JOÃO TAVARES</t>
        </is>
      </c>
      <c r="I3" s="88" t="n">
        <v>45877</v>
      </c>
      <c r="J3" s="89" t="n">
        <v>163626</v>
      </c>
      <c r="K3" s="89" t="n">
        <v>164827</v>
      </c>
      <c r="L3" s="90" t="inlineStr">
        <is>
          <t>24/07/2025</t>
        </is>
      </c>
      <c r="M3" s="140" t="inlineStr">
        <is>
          <t>pendente</t>
        </is>
      </c>
      <c r="N3" s="73" t="n">
        <v>45881</v>
      </c>
    </row>
    <row r="4">
      <c r="A4" s="86" t="inlineStr">
        <is>
          <t>Caminhonete</t>
        </is>
      </c>
      <c r="B4" s="40" t="inlineStr">
        <is>
          <t>Hillux</t>
        </is>
      </c>
      <c r="C4" s="145" t="inlineStr">
        <is>
          <t>TN 31</t>
        </is>
      </c>
      <c r="D4" s="86" t="inlineStr">
        <is>
          <t>SINAL</t>
        </is>
      </c>
      <c r="E4" s="86" t="inlineStr">
        <is>
          <t>CKS</t>
        </is>
      </c>
      <c r="F4" s="86" t="inlineStr">
        <is>
          <t>TCD7I68</t>
        </is>
      </c>
      <c r="G4" s="86" t="inlineStr">
        <is>
          <t>CARAJÁS</t>
        </is>
      </c>
      <c r="H4" s="87" t="inlineStr">
        <is>
          <t>Lucas</t>
        </is>
      </c>
      <c r="I4" s="88" t="n">
        <v>45877</v>
      </c>
      <c r="J4" s="89" t="n">
        <v>20862</v>
      </c>
      <c r="K4" s="89" t="n"/>
      <c r="L4" s="90" t="n">
        <v>45844</v>
      </c>
      <c r="M4" s="140" t="inlineStr">
        <is>
          <t>pendente</t>
        </is>
      </c>
      <c r="N4" s="73" t="n">
        <v>45878</v>
      </c>
    </row>
    <row r="5">
      <c r="A5" s="86" t="inlineStr">
        <is>
          <t>Caminhonete</t>
        </is>
      </c>
      <c r="B5" s="40" t="inlineStr">
        <is>
          <t xml:space="preserve">FORD RANGER </t>
        </is>
      </c>
      <c r="C5" s="145" t="inlineStr">
        <is>
          <t>TN 72</t>
        </is>
      </c>
      <c r="D5" s="86" t="inlineStr">
        <is>
          <t>Sonda</t>
        </is>
      </c>
      <c r="E5" s="86" t="inlineStr">
        <is>
          <t>CKS</t>
        </is>
      </c>
      <c r="F5" s="86" t="inlineStr">
        <is>
          <t>FXD9A18</t>
        </is>
      </c>
      <c r="G5" s="86" t="inlineStr">
        <is>
          <t>CARAJÁS</t>
        </is>
      </c>
      <c r="H5" s="87" t="inlineStr">
        <is>
          <t>RAIMUNDO CHARLES</t>
        </is>
      </c>
      <c r="I5" s="88" t="n">
        <v>45877</v>
      </c>
      <c r="J5" s="89" t="n">
        <v>99873</v>
      </c>
      <c r="K5" s="89" t="n"/>
      <c r="L5" s="119" t="n">
        <v>45876</v>
      </c>
      <c r="M5" s="137" t="inlineStr">
        <is>
          <t>07/08 - 04/08 - ok</t>
        </is>
      </c>
      <c r="N5" s="159" t="n">
        <v>45882</v>
      </c>
    </row>
    <row r="6">
      <c r="A6" s="86" t="inlineStr">
        <is>
          <t>Caminhonete</t>
        </is>
      </c>
      <c r="B6" s="40" t="inlineStr">
        <is>
          <t>Hillux</t>
        </is>
      </c>
      <c r="C6" s="145" t="inlineStr">
        <is>
          <t>TN 03</t>
        </is>
      </c>
      <c r="D6" s="86" t="inlineStr">
        <is>
          <t>SINAL</t>
        </is>
      </c>
      <c r="E6" s="86" t="inlineStr">
        <is>
          <t>CKS</t>
        </is>
      </c>
      <c r="F6" s="86" t="inlineStr">
        <is>
          <t>TCD7H75</t>
        </is>
      </c>
      <c r="G6" s="86" t="inlineStr">
        <is>
          <t>CARAJÁS</t>
        </is>
      </c>
      <c r="H6" s="87" t="inlineStr">
        <is>
          <t>Lucas</t>
        </is>
      </c>
      <c r="I6" s="88" t="n">
        <v>45877</v>
      </c>
      <c r="J6" s="89" t="n">
        <v>18957</v>
      </c>
      <c r="K6" s="89" t="n">
        <v>19275</v>
      </c>
      <c r="L6" s="148" t="n">
        <v>45877</v>
      </c>
      <c r="M6" s="137" t="inlineStr">
        <is>
          <t>ok</t>
        </is>
      </c>
      <c r="N6" s="159" t="n">
        <v>45885</v>
      </c>
    </row>
    <row r="7">
      <c r="A7" s="100" t="inlineStr">
        <is>
          <t>Caminhonete</t>
        </is>
      </c>
      <c r="B7" s="41" t="inlineStr">
        <is>
          <t>NISSAN FRONTIER</t>
        </is>
      </c>
      <c r="C7" s="145" t="inlineStr">
        <is>
          <t>TN 76</t>
        </is>
      </c>
      <c r="D7" s="100" t="inlineStr">
        <is>
          <t>SINAL</t>
        </is>
      </c>
      <c r="E7" s="100" t="inlineStr">
        <is>
          <t>CKS</t>
        </is>
      </c>
      <c r="F7" s="100" t="inlineStr">
        <is>
          <t>TCD7H72</t>
        </is>
      </c>
      <c r="G7" s="100" t="inlineStr">
        <is>
          <t>CARAJÁS</t>
        </is>
      </c>
      <c r="H7" s="101" t="inlineStr">
        <is>
          <t>Renan</t>
        </is>
      </c>
      <c r="I7" s="88" t="n">
        <v>45877</v>
      </c>
      <c r="J7" s="151" t="n">
        <v>14974</v>
      </c>
      <c r="K7" s="151" t="n">
        <v>15367</v>
      </c>
      <c r="L7" s="156" t="n">
        <v>45870</v>
      </c>
      <c r="M7" s="140" t="inlineStr">
        <is>
          <t>pendente</t>
        </is>
      </c>
      <c r="N7" s="73" t="n">
        <v>45880</v>
      </c>
    </row>
    <row r="8">
      <c r="A8" s="100" t="inlineStr">
        <is>
          <t>Caminhonete</t>
        </is>
      </c>
      <c r="B8" s="41" t="inlineStr">
        <is>
          <t>HILLUX</t>
        </is>
      </c>
      <c r="C8" s="145" t="inlineStr">
        <is>
          <t>TN 04</t>
        </is>
      </c>
      <c r="D8" s="100" t="inlineStr">
        <is>
          <t>SINAL</t>
        </is>
      </c>
      <c r="E8" s="100" t="inlineStr">
        <is>
          <t>CKS</t>
        </is>
      </c>
      <c r="F8" s="100" t="inlineStr">
        <is>
          <t>TDM2E37</t>
        </is>
      </c>
      <c r="G8" s="100" t="inlineStr">
        <is>
          <t>CARAJÁS</t>
        </is>
      </c>
      <c r="H8" s="101" t="inlineStr">
        <is>
          <t>MATHEUS</t>
        </is>
      </c>
      <c r="I8" s="88" t="n">
        <v>45877</v>
      </c>
      <c r="J8" s="152" t="n">
        <v>11413</v>
      </c>
      <c r="K8" s="152" t="n">
        <v>11808</v>
      </c>
      <c r="L8" s="156" t="n">
        <v>45845</v>
      </c>
      <c r="M8" s="137" t="inlineStr">
        <is>
          <t>ok</t>
        </is>
      </c>
      <c r="N8" s="73" t="n">
        <v>45882</v>
      </c>
    </row>
    <row r="9">
      <c r="A9" s="100" t="inlineStr">
        <is>
          <t>Leve</t>
        </is>
      </c>
      <c r="B9" s="41" t="inlineStr">
        <is>
          <t>Tracker</t>
        </is>
      </c>
      <c r="C9" s="145" t="inlineStr">
        <is>
          <t>TN 01</t>
        </is>
      </c>
      <c r="D9" s="100" t="inlineStr">
        <is>
          <t>Localiza</t>
        </is>
      </c>
      <c r="E9" s="100" t="inlineStr">
        <is>
          <t>CKS</t>
        </is>
      </c>
      <c r="F9" s="100" t="inlineStr">
        <is>
          <t>TCO2C15</t>
        </is>
      </c>
      <c r="G9" s="100" t="inlineStr">
        <is>
          <t>CARAJÁS</t>
        </is>
      </c>
      <c r="H9" s="101" t="inlineStr">
        <is>
          <t>Fabricio Maia</t>
        </is>
      </c>
      <c r="I9" s="88" t="n">
        <v>45877</v>
      </c>
      <c r="J9" s="152" t="n">
        <v>18281</v>
      </c>
      <c r="K9" s="152" t="n"/>
      <c r="L9" s="156" t="n"/>
      <c r="M9" s="140" t="inlineStr">
        <is>
          <t>pendente</t>
        </is>
      </c>
      <c r="N9" s="73" t="n"/>
    </row>
    <row r="10">
      <c r="A10" s="100" t="inlineStr">
        <is>
          <t>Caminhonete</t>
        </is>
      </c>
      <c r="B10" s="41" t="inlineStr">
        <is>
          <t>Ranger</t>
        </is>
      </c>
      <c r="C10" s="145" t="inlineStr">
        <is>
          <t>TN 74</t>
        </is>
      </c>
      <c r="D10" s="100" t="inlineStr">
        <is>
          <t>SONDA</t>
        </is>
      </c>
      <c r="E10" s="100" t="inlineStr">
        <is>
          <t>CKS</t>
        </is>
      </c>
      <c r="F10" s="100" t="inlineStr">
        <is>
          <t>RDM2E33</t>
        </is>
      </c>
      <c r="G10" s="100" t="inlineStr">
        <is>
          <t>CARAJÁS</t>
        </is>
      </c>
      <c r="H10" s="101" t="inlineStr">
        <is>
          <t>Ederson</t>
        </is>
      </c>
      <c r="I10" s="88" t="n">
        <v>45877</v>
      </c>
      <c r="J10" s="118" t="n">
        <v>11414</v>
      </c>
      <c r="K10" s="118" t="n">
        <v>11850</v>
      </c>
      <c r="L10" s="156" t="n">
        <v>45870</v>
      </c>
      <c r="M10" s="140" t="inlineStr">
        <is>
          <t>pendente</t>
        </is>
      </c>
      <c r="N10" s="73" t="n">
        <v>45882</v>
      </c>
    </row>
    <row r="11">
      <c r="A11" s="121" t="inlineStr">
        <is>
          <t>Caminhonete</t>
        </is>
      </c>
      <c r="B11" s="122" t="inlineStr">
        <is>
          <t>Hillux</t>
        </is>
      </c>
      <c r="C11" s="146" t="inlineStr">
        <is>
          <t>TN 73</t>
        </is>
      </c>
      <c r="D11" s="121" t="inlineStr">
        <is>
          <t>SINAL</t>
        </is>
      </c>
      <c r="E11" s="121" t="inlineStr">
        <is>
          <t>CKS</t>
        </is>
      </c>
      <c r="F11" s="121" t="inlineStr">
        <is>
          <t>TCD7H73</t>
        </is>
      </c>
      <c r="G11" s="121" t="inlineStr">
        <is>
          <t>CARAJÁS</t>
        </is>
      </c>
      <c r="H11" s="123" t="inlineStr">
        <is>
          <t>William</t>
        </is>
      </c>
      <c r="I11" s="88" t="n">
        <v>45877</v>
      </c>
      <c r="J11" s="118" t="n"/>
      <c r="K11" s="118" t="n">
        <v>6917</v>
      </c>
      <c r="L11" s="157" t="inlineStr">
        <is>
          <t>18/07/2025</t>
        </is>
      </c>
      <c r="M11" s="140" t="inlineStr">
        <is>
          <t>pendente</t>
        </is>
      </c>
      <c r="N11" s="159" t="n">
        <v>45881</v>
      </c>
    </row>
    <row r="12">
      <c r="A12" s="115" t="inlineStr">
        <is>
          <t>Caminhonete</t>
        </is>
      </c>
      <c r="B12" s="116" t="inlineStr">
        <is>
          <t>NISSAN FRONTIER</t>
        </is>
      </c>
      <c r="C12" s="147" t="inlineStr">
        <is>
          <t>TN78</t>
        </is>
      </c>
      <c r="D12" s="115" t="inlineStr">
        <is>
          <t>SONDA</t>
        </is>
      </c>
      <c r="E12" s="115" t="inlineStr">
        <is>
          <t>CKS</t>
        </is>
      </c>
      <c r="F12" s="115" t="inlineStr">
        <is>
          <t xml:space="preserve">FZY4F28 </t>
        </is>
      </c>
      <c r="G12" s="115" t="inlineStr">
        <is>
          <t>CARAJÁS</t>
        </is>
      </c>
      <c r="H12" s="115" t="inlineStr">
        <is>
          <t>Ederson</t>
        </is>
      </c>
      <c r="I12" s="88" t="n">
        <v>45877</v>
      </c>
      <c r="J12" s="118" t="n">
        <v>99676</v>
      </c>
      <c r="K12" s="118" t="n">
        <v>100762</v>
      </c>
      <c r="L12" s="158" t="n">
        <v>44770</v>
      </c>
      <c r="M12" s="140" t="inlineStr">
        <is>
          <t>pendente</t>
        </is>
      </c>
      <c r="N12" s="160" t="n">
        <v>45880</v>
      </c>
    </row>
    <row r="13"/>
    <row r="14"/>
    <row r="15">
      <c r="C15" s="145" t="n"/>
      <c r="E15" s="317" t="inlineStr">
        <is>
          <t>TN 72 Manutenção</t>
        </is>
      </c>
    </row>
    <row r="16">
      <c r="C16" s="146" t="n"/>
    </row>
    <row r="17">
      <c r="C17" s="147" t="n"/>
    </row>
    <row r="18">
      <c r="C18" s="145" t="n"/>
    </row>
    <row r="19">
      <c r="C19" s="145" t="n"/>
    </row>
    <row r="20">
      <c r="C20" s="145" t="n"/>
    </row>
  </sheetData>
  <mergeCells count="1">
    <mergeCell ref="E15:G15"/>
  </mergeCells>
  <pageMargins left="0.7" right="0.7" top="0.75" bottom="0.75" header="0.3" footer="0.3"/>
  <pageSetup orientation="portrait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L5" sqref="L5:L8"/>
    </sheetView>
  </sheetViews>
  <sheetFormatPr baseColWidth="8" defaultRowHeight="14.3"/>
  <cols>
    <col width="17" bestFit="1" customWidth="1" min="2" max="2"/>
    <col width="6.375" bestFit="1" customWidth="1" min="3" max="3"/>
    <col width="9.125" customWidth="1" min="4" max="8"/>
    <col width="11.625" customWidth="1" min="9" max="9"/>
    <col width="9.125" customWidth="1" min="10" max="10"/>
    <col width="11.125" bestFit="1" customWidth="1" min="11" max="11"/>
    <col width="15.375" bestFit="1" customWidth="1" min="12" max="12"/>
    <col width="23.375" bestFit="1" customWidth="1" min="13" max="13"/>
    <col width="14.375" bestFit="1" customWidth="1" min="14" max="14"/>
  </cols>
  <sheetData>
    <row r="1">
      <c r="A1" s="77" t="inlineStr">
        <is>
          <t xml:space="preserve">Veículos Cadastrados 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9" t="n"/>
      <c r="M1" s="80" t="n"/>
      <c r="N1" s="81" t="n"/>
    </row>
    <row r="2">
      <c r="A2" s="82" t="inlineStr">
        <is>
          <t>Tipo</t>
        </is>
      </c>
      <c r="B2" s="82" t="inlineStr">
        <is>
          <t xml:space="preserve">Modelos </t>
        </is>
      </c>
      <c r="C2" s="82" t="inlineStr">
        <is>
          <t>Tag</t>
        </is>
      </c>
      <c r="D2" s="82" t="inlineStr">
        <is>
          <t>Locadora</t>
        </is>
      </c>
      <c r="E2" s="82" t="inlineStr">
        <is>
          <t>Localidade</t>
        </is>
      </c>
      <c r="F2" s="82" t="inlineStr">
        <is>
          <t>Placa</t>
        </is>
      </c>
      <c r="G2" s="82" t="inlineStr">
        <is>
          <t>SSO</t>
        </is>
      </c>
      <c r="H2" s="82" t="inlineStr">
        <is>
          <t>Condutores</t>
        </is>
      </c>
      <c r="I2" s="82" t="inlineStr">
        <is>
          <t>SEMANA 03</t>
        </is>
      </c>
      <c r="J2" s="82" t="inlineStr">
        <is>
          <t>KM ANTERIOR</t>
        </is>
      </c>
      <c r="K2" s="82" t="inlineStr">
        <is>
          <t>KM  ATUAL</t>
        </is>
      </c>
      <c r="L2" s="166" t="inlineStr">
        <is>
          <t>Ultima lavagem</t>
        </is>
      </c>
      <c r="M2" s="84" t="inlineStr">
        <is>
          <t>lavagem programada S-1</t>
        </is>
      </c>
      <c r="N2" s="85" t="inlineStr">
        <is>
          <t>Prox. Lavagem</t>
        </is>
      </c>
    </row>
    <row r="3">
      <c r="A3" s="86" t="inlineStr">
        <is>
          <t>Caminhonete</t>
        </is>
      </c>
      <c r="B3" s="40" t="inlineStr">
        <is>
          <t>CHEVROLET S10</t>
        </is>
      </c>
      <c r="C3" s="145" t="inlineStr">
        <is>
          <t>TN 29</t>
        </is>
      </c>
      <c r="D3" s="86" t="inlineStr">
        <is>
          <t>Sonda</t>
        </is>
      </c>
      <c r="E3" s="86" t="inlineStr">
        <is>
          <t>CKS</t>
        </is>
      </c>
      <c r="F3" s="86" t="inlineStr">
        <is>
          <t>FXR0F35</t>
        </is>
      </c>
      <c r="G3" s="86" t="inlineStr">
        <is>
          <t>CARAJÁS</t>
        </is>
      </c>
      <c r="H3" s="87" t="inlineStr">
        <is>
          <t>JOÃO TAVARES</t>
        </is>
      </c>
      <c r="I3" s="161" t="n">
        <v>45883</v>
      </c>
      <c r="J3" s="89" t="n">
        <v>164827</v>
      </c>
      <c r="K3" s="163" t="n">
        <v>165513</v>
      </c>
      <c r="L3" s="119" t="inlineStr">
        <is>
          <t>24/07/2025</t>
        </is>
      </c>
      <c r="M3" s="167" t="inlineStr">
        <is>
          <t>pendente</t>
        </is>
      </c>
      <c r="N3" s="73" t="n">
        <v>45888</v>
      </c>
    </row>
    <row r="4">
      <c r="A4" s="86" t="inlineStr">
        <is>
          <t>Caminhonete</t>
        </is>
      </c>
      <c r="B4" s="40" t="inlineStr">
        <is>
          <t>Hillux</t>
        </is>
      </c>
      <c r="C4" s="145" t="inlineStr">
        <is>
          <t>TN 31</t>
        </is>
      </c>
      <c r="D4" s="86" t="inlineStr">
        <is>
          <t>SINAL</t>
        </is>
      </c>
      <c r="E4" s="86" t="inlineStr">
        <is>
          <t>CKS</t>
        </is>
      </c>
      <c r="F4" s="86" t="inlineStr">
        <is>
          <t>TCD7I68</t>
        </is>
      </c>
      <c r="G4" s="86" t="inlineStr">
        <is>
          <t>CARAJÁS</t>
        </is>
      </c>
      <c r="H4" s="87" t="inlineStr">
        <is>
          <t>Lucas</t>
        </is>
      </c>
      <c r="I4" s="161" t="n">
        <v>45883</v>
      </c>
      <c r="J4" s="89" t="n">
        <v>21219</v>
      </c>
      <c r="K4" s="163" t="n">
        <v>21340</v>
      </c>
      <c r="L4" s="119" t="n">
        <v>45867</v>
      </c>
      <c r="M4" s="167" t="inlineStr">
        <is>
          <t>pendente</t>
        </is>
      </c>
      <c r="N4" s="73" t="n">
        <v>45884</v>
      </c>
    </row>
    <row r="5">
      <c r="A5" s="86" t="inlineStr">
        <is>
          <t>Caminhonete</t>
        </is>
      </c>
      <c r="B5" s="40" t="inlineStr">
        <is>
          <t xml:space="preserve">FORD RANGER </t>
        </is>
      </c>
      <c r="C5" s="145" t="inlineStr">
        <is>
          <t>TN 72</t>
        </is>
      </c>
      <c r="D5" s="86" t="inlineStr">
        <is>
          <t>Sonda</t>
        </is>
      </c>
      <c r="E5" s="86" t="inlineStr">
        <is>
          <t>CKS</t>
        </is>
      </c>
      <c r="F5" s="86" t="inlineStr">
        <is>
          <t>FXD9A18</t>
        </is>
      </c>
      <c r="G5" s="86" t="inlineStr">
        <is>
          <t>CARAJÁS</t>
        </is>
      </c>
      <c r="H5" s="87" t="inlineStr">
        <is>
          <t>RAIMUNDO CHARLES</t>
        </is>
      </c>
      <c r="I5" s="161" t="n">
        <v>45883</v>
      </c>
      <c r="J5" s="89" t="n"/>
      <c r="K5" s="163" t="n">
        <v>100649</v>
      </c>
      <c r="L5" s="119" t="n">
        <v>45876</v>
      </c>
      <c r="M5" s="167" t="inlineStr">
        <is>
          <t>pendente</t>
        </is>
      </c>
      <c r="N5" s="159" t="n">
        <v>45887</v>
      </c>
    </row>
    <row r="6">
      <c r="A6" s="86" t="inlineStr">
        <is>
          <t>Caminhonete</t>
        </is>
      </c>
      <c r="B6" s="40" t="inlineStr">
        <is>
          <t>Hillux</t>
        </is>
      </c>
      <c r="C6" s="145" t="inlineStr">
        <is>
          <t>TN 03</t>
        </is>
      </c>
      <c r="D6" s="86" t="inlineStr">
        <is>
          <t>SINAL</t>
        </is>
      </c>
      <c r="E6" s="86" t="inlineStr">
        <is>
          <t>CKS</t>
        </is>
      </c>
      <c r="F6" s="86" t="inlineStr">
        <is>
          <t>TCD7H75</t>
        </is>
      </c>
      <c r="G6" s="86" t="inlineStr">
        <is>
          <t>CARAJÁS</t>
        </is>
      </c>
      <c r="H6" s="87" t="inlineStr">
        <is>
          <t>Lucas</t>
        </is>
      </c>
      <c r="I6" s="161" t="n">
        <v>45883</v>
      </c>
      <c r="J6" s="89" t="n">
        <v>19275</v>
      </c>
      <c r="K6" s="163" t="n">
        <v>19942</v>
      </c>
      <c r="L6" s="119" t="n">
        <v>45881</v>
      </c>
      <c r="M6" s="165" t="inlineStr">
        <is>
          <t>ok</t>
        </is>
      </c>
      <c r="N6" s="159" t="n">
        <v>45886</v>
      </c>
      <c r="O6" t="inlineStr">
        <is>
          <t>ok</t>
        </is>
      </c>
    </row>
    <row r="7">
      <c r="A7" s="100" t="inlineStr">
        <is>
          <t>Caminhonete</t>
        </is>
      </c>
      <c r="B7" s="41" t="inlineStr">
        <is>
          <t>NISSAN FRONTIER</t>
        </is>
      </c>
      <c r="C7" s="145" t="inlineStr">
        <is>
          <t>TN 76</t>
        </is>
      </c>
      <c r="D7" s="100" t="inlineStr">
        <is>
          <t>SINAL</t>
        </is>
      </c>
      <c r="E7" s="100" t="inlineStr">
        <is>
          <t>CKS</t>
        </is>
      </c>
      <c r="F7" s="100" t="inlineStr">
        <is>
          <t>TCD7H72</t>
        </is>
      </c>
      <c r="G7" s="100" t="inlineStr">
        <is>
          <t>CARAJÁS</t>
        </is>
      </c>
      <c r="H7" s="101" t="inlineStr">
        <is>
          <t>Renan</t>
        </is>
      </c>
      <c r="I7" s="161" t="n">
        <v>45883</v>
      </c>
      <c r="J7" s="151" t="n">
        <v>15367</v>
      </c>
      <c r="K7" s="154" t="n">
        <v>15848</v>
      </c>
      <c r="L7" s="119" t="n">
        <v>45870</v>
      </c>
      <c r="M7" s="167" t="inlineStr">
        <is>
          <t>pendente</t>
        </is>
      </c>
      <c r="N7" s="73" t="n">
        <v>45887</v>
      </c>
    </row>
    <row r="8">
      <c r="A8" s="100" t="inlineStr">
        <is>
          <t>Caminhonete</t>
        </is>
      </c>
      <c r="B8" s="41" t="inlineStr">
        <is>
          <t>HILLUX</t>
        </is>
      </c>
      <c r="C8" s="145" t="inlineStr">
        <is>
          <t>TN 04</t>
        </is>
      </c>
      <c r="D8" s="100" t="inlineStr">
        <is>
          <t>SINAL</t>
        </is>
      </c>
      <c r="E8" s="100" t="inlineStr">
        <is>
          <t>CKS</t>
        </is>
      </c>
      <c r="F8" s="100" t="inlineStr">
        <is>
          <t>TDM2E37</t>
        </is>
      </c>
      <c r="G8" s="100" t="inlineStr">
        <is>
          <t>CARAJÁS</t>
        </is>
      </c>
      <c r="H8" s="101" t="inlineStr">
        <is>
          <t>MATHEUS</t>
        </is>
      </c>
      <c r="I8" s="161" t="n">
        <v>45883</v>
      </c>
      <c r="J8" s="152" t="n">
        <v>11808</v>
      </c>
      <c r="K8" s="164" t="n">
        <v>12290</v>
      </c>
      <c r="L8" s="119" t="n">
        <v>45877</v>
      </c>
      <c r="M8" s="167" t="inlineStr">
        <is>
          <t>pendente</t>
        </is>
      </c>
      <c r="N8" s="73" t="n">
        <v>45885</v>
      </c>
    </row>
    <row r="9">
      <c r="A9" s="100" t="inlineStr">
        <is>
          <t>Leve</t>
        </is>
      </c>
      <c r="B9" s="41" t="inlineStr">
        <is>
          <t>Tracker</t>
        </is>
      </c>
      <c r="C9" s="145" t="inlineStr">
        <is>
          <t>TN 01</t>
        </is>
      </c>
      <c r="D9" s="100" t="inlineStr">
        <is>
          <t>Localiza</t>
        </is>
      </c>
      <c r="E9" s="100" t="inlineStr">
        <is>
          <t>CKS</t>
        </is>
      </c>
      <c r="F9" s="100" t="inlineStr">
        <is>
          <t>TCO2C15</t>
        </is>
      </c>
      <c r="G9" s="100" t="inlineStr">
        <is>
          <t>CARAJÁS</t>
        </is>
      </c>
      <c r="H9" s="101" t="inlineStr">
        <is>
          <t>Fabricio Maia</t>
        </is>
      </c>
      <c r="I9" s="161" t="n">
        <v>45883</v>
      </c>
      <c r="J9" s="152" t="n"/>
      <c r="K9" s="164" t="n">
        <v>19017</v>
      </c>
      <c r="L9" s="119" t="n"/>
      <c r="M9" s="165" t="n"/>
      <c r="N9" s="73" t="n"/>
    </row>
    <row r="10">
      <c r="A10" s="100" t="inlineStr">
        <is>
          <t>Caminhonete</t>
        </is>
      </c>
      <c r="B10" s="41" t="inlineStr">
        <is>
          <t>Ranger</t>
        </is>
      </c>
      <c r="C10" s="145" t="inlineStr">
        <is>
          <t>TN 74</t>
        </is>
      </c>
      <c r="D10" s="100" t="inlineStr">
        <is>
          <t>SONDA</t>
        </is>
      </c>
      <c r="E10" s="100" t="inlineStr">
        <is>
          <t>CKS</t>
        </is>
      </c>
      <c r="F10" s="100" t="inlineStr">
        <is>
          <t>RDM2E33</t>
        </is>
      </c>
      <c r="G10" s="100" t="inlineStr">
        <is>
          <t>CARAJÁS</t>
        </is>
      </c>
      <c r="H10" s="101" t="inlineStr">
        <is>
          <t>Ederson</t>
        </is>
      </c>
      <c r="I10" s="161" t="n">
        <v>45883</v>
      </c>
      <c r="J10" s="118" t="n">
        <v>11850</v>
      </c>
      <c r="K10" s="155" t="n">
        <v>12249</v>
      </c>
      <c r="L10" s="119" t="n">
        <v>45870</v>
      </c>
      <c r="M10" s="167" t="inlineStr">
        <is>
          <t>pendente</t>
        </is>
      </c>
      <c r="N10" s="73" t="n">
        <v>45889</v>
      </c>
    </row>
    <row r="11">
      <c r="A11" s="121" t="inlineStr">
        <is>
          <t>Caminhonete</t>
        </is>
      </c>
      <c r="B11" s="122" t="inlineStr">
        <is>
          <t>Hillux</t>
        </is>
      </c>
      <c r="C11" s="146" t="inlineStr">
        <is>
          <t>TN 73</t>
        </is>
      </c>
      <c r="D11" s="121" t="inlineStr">
        <is>
          <t>SINAL</t>
        </is>
      </c>
      <c r="E11" s="121" t="inlineStr">
        <is>
          <t>CKS</t>
        </is>
      </c>
      <c r="F11" s="121" t="inlineStr">
        <is>
          <t>TCD7H73</t>
        </is>
      </c>
      <c r="G11" s="121" t="inlineStr">
        <is>
          <t>CARAJÁS</t>
        </is>
      </c>
      <c r="H11" s="123" t="inlineStr">
        <is>
          <t>William</t>
        </is>
      </c>
      <c r="I11" s="161" t="n">
        <v>45883</v>
      </c>
      <c r="J11" s="118" t="n">
        <v>6917</v>
      </c>
      <c r="K11" s="155" t="n">
        <v>7135</v>
      </c>
      <c r="L11" s="119" t="n">
        <v>45883</v>
      </c>
      <c r="M11" s="165" t="inlineStr">
        <is>
          <t>ok</t>
        </is>
      </c>
      <c r="N11" s="159" t="n">
        <v>45890</v>
      </c>
      <c r="O11" t="inlineStr">
        <is>
          <t>ok</t>
        </is>
      </c>
    </row>
    <row r="12">
      <c r="A12" s="115" t="inlineStr">
        <is>
          <t>Caminhonete</t>
        </is>
      </c>
      <c r="B12" s="116" t="inlineStr">
        <is>
          <t>NISSAN FRONTIER</t>
        </is>
      </c>
      <c r="C12" s="147" t="inlineStr">
        <is>
          <t>TN78</t>
        </is>
      </c>
      <c r="D12" s="115" t="inlineStr">
        <is>
          <t>SONDA</t>
        </is>
      </c>
      <c r="E12" s="115" t="inlineStr">
        <is>
          <t>CKS</t>
        </is>
      </c>
      <c r="F12" s="115" t="inlineStr">
        <is>
          <t xml:space="preserve">FZY4F28 </t>
        </is>
      </c>
      <c r="G12" s="115" t="inlineStr">
        <is>
          <t>CARAJÁS</t>
        </is>
      </c>
      <c r="H12" s="115" t="inlineStr">
        <is>
          <t>Ederson</t>
        </is>
      </c>
      <c r="I12" s="161" t="n">
        <v>45883</v>
      </c>
      <c r="J12" s="118" t="n">
        <v>100762</v>
      </c>
      <c r="K12" s="155" t="n">
        <v>101440</v>
      </c>
      <c r="L12" s="162" t="n">
        <v>45880</v>
      </c>
      <c r="M12" s="165" t="inlineStr">
        <is>
          <t>ok</t>
        </is>
      </c>
      <c r="N12" s="160" t="n">
        <v>45887</v>
      </c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12"/>
  <sheetViews>
    <sheetView topLeftCell="A6" workbookViewId="0">
      <selection activeCell="A17" sqref="A17"/>
    </sheetView>
  </sheetViews>
  <sheetFormatPr baseColWidth="8" defaultRowHeight="14.3"/>
  <cols>
    <col width="11.625" bestFit="1" customWidth="1" min="9" max="9"/>
    <col width="14" bestFit="1" customWidth="1" min="10" max="10"/>
    <col width="15.375" bestFit="1" customWidth="1" min="12" max="12"/>
    <col width="23.375" bestFit="1" customWidth="1" min="13" max="13"/>
    <col width="14.375" bestFit="1" customWidth="1" min="14" max="14"/>
  </cols>
  <sheetData>
    <row r="1">
      <c r="A1" s="77" t="inlineStr">
        <is>
          <t xml:space="preserve">Veículos Cadastrados 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9" t="n"/>
      <c r="M1" s="80" t="n"/>
      <c r="N1" s="81" t="n"/>
    </row>
    <row r="2">
      <c r="A2" s="82" t="inlineStr">
        <is>
          <t>Tipo</t>
        </is>
      </c>
      <c r="B2" s="82" t="inlineStr">
        <is>
          <t xml:space="preserve">Modelos </t>
        </is>
      </c>
      <c r="C2" s="82" t="inlineStr">
        <is>
          <t>Tag</t>
        </is>
      </c>
      <c r="D2" s="82" t="inlineStr">
        <is>
          <t>Locadora</t>
        </is>
      </c>
      <c r="E2" s="82" t="inlineStr">
        <is>
          <t>Localidade</t>
        </is>
      </c>
      <c r="F2" s="82" t="inlineStr">
        <is>
          <t>Placa</t>
        </is>
      </c>
      <c r="G2" s="82" t="inlineStr">
        <is>
          <t>SSO</t>
        </is>
      </c>
      <c r="H2" s="82" t="inlineStr">
        <is>
          <t>Condutores</t>
        </is>
      </c>
      <c r="I2" s="82" t="inlineStr">
        <is>
          <t>SEMANA 04</t>
        </is>
      </c>
      <c r="J2" s="82" t="inlineStr">
        <is>
          <t>KM ANTERIOR</t>
        </is>
      </c>
      <c r="K2" s="82" t="inlineStr">
        <is>
          <t>KM  ATUAL</t>
        </is>
      </c>
      <c r="L2" s="166" t="inlineStr">
        <is>
          <t>Ultima lavagem</t>
        </is>
      </c>
      <c r="M2" s="84" t="inlineStr">
        <is>
          <t>lavagem programada S-1</t>
        </is>
      </c>
      <c r="N2" s="85" t="inlineStr">
        <is>
          <t>Prox. Lavagem</t>
        </is>
      </c>
    </row>
    <row r="3">
      <c r="A3" s="86" t="inlineStr">
        <is>
          <t>Caminhonete</t>
        </is>
      </c>
      <c r="B3" s="40" t="inlineStr">
        <is>
          <t>CHEVROLET S10</t>
        </is>
      </c>
      <c r="C3" s="145" t="inlineStr">
        <is>
          <t>TN 29</t>
        </is>
      </c>
      <c r="D3" s="86" t="inlineStr">
        <is>
          <t>Sonda</t>
        </is>
      </c>
      <c r="E3" s="86" t="inlineStr">
        <is>
          <t>CKS</t>
        </is>
      </c>
      <c r="F3" s="86" t="inlineStr">
        <is>
          <t>FXR0F35</t>
        </is>
      </c>
      <c r="G3" s="86" t="inlineStr">
        <is>
          <t>CARAJÁS</t>
        </is>
      </c>
      <c r="H3" s="87" t="inlineStr">
        <is>
          <t>JOÃO TAVARES</t>
        </is>
      </c>
      <c r="I3" s="161" t="n">
        <v>45891</v>
      </c>
      <c r="J3" s="163" t="n">
        <v>165513</v>
      </c>
      <c r="K3" s="163" t="n">
        <v>166199</v>
      </c>
      <c r="L3" s="119" t="n">
        <v>45888</v>
      </c>
      <c r="M3" s="165" t="inlineStr">
        <is>
          <t>ok</t>
        </is>
      </c>
      <c r="N3" s="73" t="n">
        <v>45895</v>
      </c>
    </row>
    <row r="4">
      <c r="A4" s="86" t="inlineStr">
        <is>
          <t>Caminhonete</t>
        </is>
      </c>
      <c r="B4" s="40" t="inlineStr">
        <is>
          <t>Hillux</t>
        </is>
      </c>
      <c r="C4" s="145" t="inlineStr">
        <is>
          <t>TN 31</t>
        </is>
      </c>
      <c r="D4" s="86" t="inlineStr">
        <is>
          <t>SINAL</t>
        </is>
      </c>
      <c r="E4" s="86" t="inlineStr">
        <is>
          <t>CKS</t>
        </is>
      </c>
      <c r="F4" s="86" t="inlineStr">
        <is>
          <t>TCD7I68</t>
        </is>
      </c>
      <c r="G4" s="86" t="inlineStr">
        <is>
          <t>CARAJÁS</t>
        </is>
      </c>
      <c r="H4" s="87" t="inlineStr">
        <is>
          <t>Lucas</t>
        </is>
      </c>
      <c r="I4" s="161" t="n">
        <v>45891</v>
      </c>
      <c r="J4" s="163" t="n">
        <v>21340</v>
      </c>
      <c r="K4" s="163" t="n">
        <v>21835</v>
      </c>
      <c r="L4" s="119" t="n">
        <v>45891</v>
      </c>
      <c r="M4" s="165" t="inlineStr">
        <is>
          <t>ok</t>
        </is>
      </c>
      <c r="N4" s="73" t="n">
        <v>45896</v>
      </c>
    </row>
    <row r="5">
      <c r="A5" s="86" t="inlineStr">
        <is>
          <t>Caminhonete</t>
        </is>
      </c>
      <c r="B5" s="40" t="inlineStr">
        <is>
          <t xml:space="preserve">FORD RANGER </t>
        </is>
      </c>
      <c r="C5" s="145" t="inlineStr">
        <is>
          <t>TN 72</t>
        </is>
      </c>
      <c r="D5" s="86" t="inlineStr">
        <is>
          <t>Sonda</t>
        </is>
      </c>
      <c r="E5" s="86" t="inlineStr">
        <is>
          <t>CKS</t>
        </is>
      </c>
      <c r="F5" s="86" t="inlineStr">
        <is>
          <t>FXD9A18</t>
        </is>
      </c>
      <c r="G5" s="86" t="inlineStr">
        <is>
          <t>CARAJÁS</t>
        </is>
      </c>
      <c r="H5" s="87" t="inlineStr">
        <is>
          <t>RAIMUNDO CHARLES</t>
        </is>
      </c>
      <c r="I5" s="161" t="n">
        <v>45891</v>
      </c>
      <c r="J5" s="163" t="n">
        <v>100649</v>
      </c>
      <c r="K5" s="163" t="n">
        <v>101584</v>
      </c>
      <c r="L5" s="119" t="n">
        <v>45876</v>
      </c>
      <c r="M5" s="168" t="inlineStr">
        <is>
          <t>pendente</t>
        </is>
      </c>
      <c r="N5" s="159" t="n">
        <v>45894</v>
      </c>
    </row>
    <row r="6">
      <c r="A6" s="86" t="inlineStr">
        <is>
          <t>Caminhonete</t>
        </is>
      </c>
      <c r="B6" s="40" t="inlineStr">
        <is>
          <t>Hillux</t>
        </is>
      </c>
      <c r="C6" s="145" t="inlineStr">
        <is>
          <t>TN 03</t>
        </is>
      </c>
      <c r="D6" s="86" t="inlineStr">
        <is>
          <t>SINAL</t>
        </is>
      </c>
      <c r="E6" s="86" t="inlineStr">
        <is>
          <t>CKS</t>
        </is>
      </c>
      <c r="F6" s="86" t="inlineStr">
        <is>
          <t>TCD7H75</t>
        </is>
      </c>
      <c r="G6" s="86" t="inlineStr">
        <is>
          <t>CARAJÁS</t>
        </is>
      </c>
      <c r="H6" s="87" t="inlineStr">
        <is>
          <t>Lucas</t>
        </is>
      </c>
      <c r="I6" s="161" t="n">
        <v>45891</v>
      </c>
      <c r="J6" s="163" t="n">
        <v>19942</v>
      </c>
      <c r="K6" s="163" t="n">
        <v>20325</v>
      </c>
      <c r="L6" s="119" t="n">
        <v>45881</v>
      </c>
      <c r="M6" s="168" t="inlineStr">
        <is>
          <t>pendente</t>
        </is>
      </c>
      <c r="N6" s="73" t="n">
        <v>45896</v>
      </c>
    </row>
    <row r="7">
      <c r="A7" s="100" t="inlineStr">
        <is>
          <t>Caminhonete</t>
        </is>
      </c>
      <c r="B7" s="41" t="inlineStr">
        <is>
          <t>NISSAN FRONTIER</t>
        </is>
      </c>
      <c r="C7" s="145" t="inlineStr">
        <is>
          <t>TN 76</t>
        </is>
      </c>
      <c r="D7" s="100" t="inlineStr">
        <is>
          <t>SINAL</t>
        </is>
      </c>
      <c r="E7" s="100" t="inlineStr">
        <is>
          <t>CKS</t>
        </is>
      </c>
      <c r="F7" s="100" t="inlineStr">
        <is>
          <t>TCD7H72</t>
        </is>
      </c>
      <c r="G7" s="100" t="inlineStr">
        <is>
          <t>CARAJÁS</t>
        </is>
      </c>
      <c r="H7" s="101" t="inlineStr">
        <is>
          <t>Renan</t>
        </is>
      </c>
      <c r="I7" s="161" t="n">
        <v>45891</v>
      </c>
      <c r="J7" s="154" t="n">
        <v>15848</v>
      </c>
      <c r="K7" s="154" t="n">
        <v>16364</v>
      </c>
      <c r="L7" s="119" t="n">
        <v>45870</v>
      </c>
      <c r="M7" s="168" t="inlineStr">
        <is>
          <t>pendente</t>
        </is>
      </c>
      <c r="N7" s="73" t="n">
        <v>45897</v>
      </c>
    </row>
    <row r="8">
      <c r="A8" s="100" t="inlineStr">
        <is>
          <t>Caminhonete</t>
        </is>
      </c>
      <c r="B8" s="41" t="inlineStr">
        <is>
          <t>HILLUX</t>
        </is>
      </c>
      <c r="C8" s="145" t="inlineStr">
        <is>
          <t>TN 04</t>
        </is>
      </c>
      <c r="D8" s="100" t="inlineStr">
        <is>
          <t>SINAL</t>
        </is>
      </c>
      <c r="E8" s="100" t="inlineStr">
        <is>
          <t>CKS</t>
        </is>
      </c>
      <c r="F8" s="100" t="inlineStr">
        <is>
          <t>TDM2E37</t>
        </is>
      </c>
      <c r="G8" s="100" t="inlineStr">
        <is>
          <t>CARAJÁS</t>
        </is>
      </c>
      <c r="H8" s="101" t="inlineStr">
        <is>
          <t>MATHEUS</t>
        </is>
      </c>
      <c r="I8" s="161" t="n">
        <v>45891</v>
      </c>
      <c r="J8" s="164" t="n">
        <v>12290</v>
      </c>
      <c r="K8" s="164" t="n">
        <v>12845</v>
      </c>
      <c r="L8" s="119" t="n">
        <v>45891</v>
      </c>
      <c r="M8" s="165" t="inlineStr">
        <is>
          <t>16/08 - 22/08 ok</t>
        </is>
      </c>
      <c r="N8" s="73" t="n">
        <v>45898</v>
      </c>
    </row>
    <row r="9">
      <c r="A9" s="100" t="inlineStr">
        <is>
          <t>Leve</t>
        </is>
      </c>
      <c r="B9" s="41" t="inlineStr">
        <is>
          <t>Tracker</t>
        </is>
      </c>
      <c r="C9" s="145" t="inlineStr">
        <is>
          <t>TN 01</t>
        </is>
      </c>
      <c r="D9" s="100" t="inlineStr">
        <is>
          <t>Localiza</t>
        </is>
      </c>
      <c r="E9" s="100" t="inlineStr">
        <is>
          <t>CKS</t>
        </is>
      </c>
      <c r="F9" s="100" t="inlineStr">
        <is>
          <t>TCO2C15</t>
        </is>
      </c>
      <c r="G9" s="100" t="inlineStr">
        <is>
          <t>CARAJÁS</t>
        </is>
      </c>
      <c r="H9" s="101" t="inlineStr">
        <is>
          <t>Fabricio Maia</t>
        </is>
      </c>
      <c r="I9" s="161" t="n">
        <v>45891</v>
      </c>
      <c r="J9" s="164" t="n">
        <v>19017</v>
      </c>
      <c r="K9" s="164" t="n"/>
      <c r="L9" s="164" t="n"/>
      <c r="M9" s="168" t="inlineStr">
        <is>
          <t>pendente</t>
        </is>
      </c>
      <c r="N9" s="73" t="n"/>
    </row>
    <row r="10">
      <c r="A10" s="100" t="inlineStr">
        <is>
          <t>Caminhonete</t>
        </is>
      </c>
      <c r="B10" s="41" t="inlineStr">
        <is>
          <t>Ranger</t>
        </is>
      </c>
      <c r="C10" s="145" t="inlineStr">
        <is>
          <t>TN 74</t>
        </is>
      </c>
      <c r="D10" s="100" t="inlineStr">
        <is>
          <t>SONDA</t>
        </is>
      </c>
      <c r="E10" s="100" t="inlineStr">
        <is>
          <t>CKS</t>
        </is>
      </c>
      <c r="F10" s="100" t="inlineStr">
        <is>
          <t>RDM2E33</t>
        </is>
      </c>
      <c r="G10" s="100" t="inlineStr">
        <is>
          <t>CARAJÁS</t>
        </is>
      </c>
      <c r="H10" s="101" t="inlineStr">
        <is>
          <t>Ederson</t>
        </is>
      </c>
      <c r="I10" s="161" t="n">
        <v>45891</v>
      </c>
      <c r="J10" s="155" t="n">
        <v>12249</v>
      </c>
      <c r="K10" s="155" t="n"/>
      <c r="L10" s="119" t="n">
        <v>45870</v>
      </c>
      <c r="M10" s="168" t="inlineStr">
        <is>
          <t>pendente</t>
        </is>
      </c>
      <c r="N10" s="73" t="n">
        <v>45895</v>
      </c>
    </row>
    <row r="11">
      <c r="A11" s="121" t="inlineStr">
        <is>
          <t>Caminhonete</t>
        </is>
      </c>
      <c r="B11" s="122" t="inlineStr">
        <is>
          <t>Hillux</t>
        </is>
      </c>
      <c r="C11" s="146" t="inlineStr">
        <is>
          <t>TN 73</t>
        </is>
      </c>
      <c r="D11" s="121" t="inlineStr">
        <is>
          <t>SINAL</t>
        </is>
      </c>
      <c r="E11" s="121" t="inlineStr">
        <is>
          <t>CKS</t>
        </is>
      </c>
      <c r="F11" s="121" t="inlineStr">
        <is>
          <t>TCD7H73</t>
        </is>
      </c>
      <c r="G11" s="121" t="inlineStr">
        <is>
          <t>CARAJÁS</t>
        </is>
      </c>
      <c r="H11" s="123" t="inlineStr">
        <is>
          <t>William</t>
        </is>
      </c>
      <c r="I11" s="161" t="n">
        <v>45891</v>
      </c>
      <c r="J11" s="155" t="n">
        <v>7135</v>
      </c>
      <c r="K11" s="155" t="n">
        <v>7852</v>
      </c>
      <c r="L11" s="119" t="n">
        <v>45883</v>
      </c>
      <c r="M11" s="168" t="inlineStr">
        <is>
          <t>pendente</t>
        </is>
      </c>
      <c r="N11" s="159" t="n">
        <v>45895</v>
      </c>
    </row>
    <row r="12">
      <c r="A12" s="115" t="inlineStr">
        <is>
          <t>Caminhonete</t>
        </is>
      </c>
      <c r="B12" s="116" t="inlineStr">
        <is>
          <t>NISSAN FRONTIER</t>
        </is>
      </c>
      <c r="C12" s="147" t="inlineStr">
        <is>
          <t>TN78</t>
        </is>
      </c>
      <c r="D12" s="115" t="inlineStr">
        <is>
          <t>SONDA</t>
        </is>
      </c>
      <c r="E12" s="115" t="inlineStr">
        <is>
          <t>CKS</t>
        </is>
      </c>
      <c r="F12" s="115" t="inlineStr">
        <is>
          <t xml:space="preserve">FZY4F28 </t>
        </is>
      </c>
      <c r="G12" s="115" t="inlineStr">
        <is>
          <t>CARAJÁS</t>
        </is>
      </c>
      <c r="H12" s="115" t="inlineStr">
        <is>
          <t>Ederson</t>
        </is>
      </c>
      <c r="I12" s="161" t="n">
        <v>45891</v>
      </c>
      <c r="J12" s="155" t="n">
        <v>101440</v>
      </c>
      <c r="K12" s="155" t="n">
        <v>102307</v>
      </c>
      <c r="L12" s="162" t="n">
        <v>45880</v>
      </c>
      <c r="M12" s="168" t="inlineStr">
        <is>
          <t>pendente</t>
        </is>
      </c>
      <c r="N12" s="160" t="n">
        <v>45895</v>
      </c>
    </row>
  </sheetData>
  <pageMargins left="0.7" right="0.7" top="0.75" bottom="0.75" header="0.3" footer="0.3"/>
  <pageSetup orientation="portrait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P7" sqref="P7"/>
    </sheetView>
  </sheetViews>
  <sheetFormatPr baseColWidth="8" defaultRowHeight="14.3"/>
  <cols>
    <col width="17" bestFit="1" customWidth="1" min="2" max="2"/>
    <col width="11.125" bestFit="1" customWidth="1" min="11" max="11"/>
    <col width="15.375" bestFit="1" customWidth="1" min="12" max="12"/>
    <col width="23.375" bestFit="1" customWidth="1" min="13" max="13"/>
    <col width="14.375" bestFit="1" customWidth="1" min="14" max="14"/>
  </cols>
  <sheetData>
    <row r="1">
      <c r="A1" s="169" t="inlineStr">
        <is>
          <t xml:space="preserve">Veículos Cadastrados </t>
        </is>
      </c>
      <c r="B1" s="170" t="n"/>
      <c r="C1" s="170" t="n"/>
      <c r="D1" s="170" t="n"/>
      <c r="E1" s="170" t="n"/>
      <c r="F1" s="170" t="n"/>
      <c r="G1" s="170" t="n"/>
      <c r="H1" s="170" t="n"/>
      <c r="I1" s="170" t="n"/>
      <c r="J1" s="170" t="n"/>
      <c r="K1" s="170" t="n"/>
      <c r="L1" s="170" t="n"/>
      <c r="M1" s="171" t="n"/>
      <c r="N1" s="172" t="n"/>
    </row>
    <row r="2">
      <c r="A2" s="173" t="inlineStr">
        <is>
          <t>Tipo</t>
        </is>
      </c>
      <c r="B2" s="173" t="inlineStr">
        <is>
          <t xml:space="preserve">Modelos </t>
        </is>
      </c>
      <c r="C2" s="173" t="inlineStr">
        <is>
          <t>Tag</t>
        </is>
      </c>
      <c r="D2" s="173" t="inlineStr">
        <is>
          <t>Locadora</t>
        </is>
      </c>
      <c r="E2" s="173" t="inlineStr">
        <is>
          <t>Localidade</t>
        </is>
      </c>
      <c r="F2" s="173" t="inlineStr">
        <is>
          <t>Placa</t>
        </is>
      </c>
      <c r="G2" s="173" t="inlineStr">
        <is>
          <t>SSO</t>
        </is>
      </c>
      <c r="H2" s="173" t="inlineStr">
        <is>
          <t>Condutores</t>
        </is>
      </c>
      <c r="I2" s="173" t="inlineStr">
        <is>
          <t>SEMANA 04</t>
        </is>
      </c>
      <c r="J2" s="173" t="inlineStr">
        <is>
          <t>KM ANTERIOR</t>
        </is>
      </c>
      <c r="K2" s="173" t="inlineStr">
        <is>
          <t>KM  ATUAL</t>
        </is>
      </c>
      <c r="L2" s="174" t="inlineStr">
        <is>
          <t>Ultima lavagem</t>
        </is>
      </c>
      <c r="M2" s="175" t="inlineStr">
        <is>
          <t>lavagem programada S-1</t>
        </is>
      </c>
      <c r="N2" s="176" t="inlineStr">
        <is>
          <t>Prox. Lavagem</t>
        </is>
      </c>
    </row>
    <row r="3">
      <c r="A3" s="177" t="inlineStr">
        <is>
          <t>Caminhonete</t>
        </is>
      </c>
      <c r="B3" s="177" t="inlineStr">
        <is>
          <t>CHEVROLET S10</t>
        </is>
      </c>
      <c r="C3" s="178" t="inlineStr">
        <is>
          <t>TN 29</t>
        </is>
      </c>
      <c r="D3" s="177" t="inlineStr">
        <is>
          <t>Sonda</t>
        </is>
      </c>
      <c r="E3" s="177" t="inlineStr">
        <is>
          <t>CKS</t>
        </is>
      </c>
      <c r="F3" s="177" t="inlineStr">
        <is>
          <t>FXR0F35</t>
        </is>
      </c>
      <c r="G3" s="177" t="inlineStr">
        <is>
          <t>CARAJÁS</t>
        </is>
      </c>
      <c r="H3" s="179" t="inlineStr">
        <is>
          <t>JOÃO TAVARES</t>
        </is>
      </c>
      <c r="I3" s="180" t="inlineStr">
        <is>
          <t>8/22/2025</t>
        </is>
      </c>
      <c r="J3" s="179" t="n">
        <v>166.199</v>
      </c>
      <c r="K3" s="181" t="n">
        <v>167.056</v>
      </c>
      <c r="L3" s="182" t="inlineStr">
        <is>
          <t>8/26/2025</t>
        </is>
      </c>
      <c r="M3" s="183" t="n"/>
      <c r="N3" s="65" t="n">
        <v>45725</v>
      </c>
    </row>
    <row r="4">
      <c r="A4" s="177" t="inlineStr">
        <is>
          <t>Caminhonete</t>
        </is>
      </c>
      <c r="B4" s="177" t="inlineStr">
        <is>
          <t>Hillux</t>
        </is>
      </c>
      <c r="C4" s="178" t="inlineStr">
        <is>
          <t>TN 31</t>
        </is>
      </c>
      <c r="D4" s="177" t="inlineStr">
        <is>
          <t>SINAL</t>
        </is>
      </c>
      <c r="E4" s="177" t="inlineStr">
        <is>
          <t>CKS</t>
        </is>
      </c>
      <c r="F4" s="177" t="inlineStr">
        <is>
          <t>TCD7I68</t>
        </is>
      </c>
      <c r="G4" s="177" t="inlineStr">
        <is>
          <t>CARAJÁS</t>
        </is>
      </c>
      <c r="H4" s="179" t="inlineStr">
        <is>
          <t>Lucas</t>
        </is>
      </c>
      <c r="I4" s="180" t="inlineStr">
        <is>
          <t>8/22/2025</t>
        </is>
      </c>
      <c r="J4" s="179" t="n">
        <v>21.835</v>
      </c>
      <c r="K4" s="181" t="n">
        <v>22.094</v>
      </c>
      <c r="L4" s="182" t="inlineStr">
        <is>
          <t>8/27/2025</t>
        </is>
      </c>
      <c r="M4" s="183" t="n"/>
      <c r="N4" s="65" t="n">
        <v>45666</v>
      </c>
    </row>
    <row r="5">
      <c r="A5" s="177" t="inlineStr">
        <is>
          <t>Caminhonete</t>
        </is>
      </c>
      <c r="B5" s="177" t="inlineStr">
        <is>
          <t xml:space="preserve">FORD RANGER </t>
        </is>
      </c>
      <c r="C5" s="178" t="inlineStr">
        <is>
          <t>TN 72</t>
        </is>
      </c>
      <c r="D5" s="177" t="inlineStr">
        <is>
          <t>Sonda</t>
        </is>
      </c>
      <c r="E5" s="177" t="inlineStr">
        <is>
          <t>CKS</t>
        </is>
      </c>
      <c r="F5" s="177" t="inlineStr">
        <is>
          <t>FXD9A18</t>
        </is>
      </c>
      <c r="G5" s="177" t="inlineStr">
        <is>
          <t>CARAJÁS</t>
        </is>
      </c>
      <c r="H5" s="179" t="inlineStr">
        <is>
          <t>RAIMUNDO CHARLES</t>
        </is>
      </c>
      <c r="I5" s="180" t="inlineStr">
        <is>
          <t>8/22/2025</t>
        </is>
      </c>
      <c r="J5" s="179" t="n">
        <v>101.584</v>
      </c>
      <c r="K5" s="181" t="n">
        <v>102.406</v>
      </c>
      <c r="L5" s="182" t="inlineStr">
        <is>
          <t>8/25/2025</t>
        </is>
      </c>
      <c r="M5" s="184" t="n"/>
      <c r="N5" s="185" t="n">
        <v>45756</v>
      </c>
    </row>
    <row r="6">
      <c r="A6" s="177" t="inlineStr">
        <is>
          <t>Caminhonete</t>
        </is>
      </c>
      <c r="B6" s="177" t="inlineStr">
        <is>
          <t>Hillux</t>
        </is>
      </c>
      <c r="C6" s="178" t="inlineStr">
        <is>
          <t>TN 03</t>
        </is>
      </c>
      <c r="D6" s="177" t="inlineStr">
        <is>
          <t>SINAL</t>
        </is>
      </c>
      <c r="E6" s="177" t="inlineStr">
        <is>
          <t>CKS</t>
        </is>
      </c>
      <c r="F6" s="177" t="inlineStr">
        <is>
          <t>TCD7H75</t>
        </is>
      </c>
      <c r="G6" s="177" t="inlineStr">
        <is>
          <t>CARAJÁS</t>
        </is>
      </c>
      <c r="H6" s="179" t="inlineStr">
        <is>
          <t>Lucas</t>
        </is>
      </c>
      <c r="I6" s="180" t="inlineStr">
        <is>
          <t>8/22/2025</t>
        </is>
      </c>
      <c r="J6" s="179" t="n">
        <v>20.325</v>
      </c>
      <c r="K6" s="181" t="n">
        <v>20.71</v>
      </c>
      <c r="L6" s="182" t="inlineStr">
        <is>
          <t>8/27/2025</t>
        </is>
      </c>
      <c r="M6" s="184" t="n"/>
      <c r="N6" s="65" t="n">
        <v>45697</v>
      </c>
    </row>
    <row r="7">
      <c r="A7" s="178" t="inlineStr">
        <is>
          <t>Caminhonete</t>
        </is>
      </c>
      <c r="B7" s="178" t="inlineStr">
        <is>
          <t>NISSAN FRONTIER</t>
        </is>
      </c>
      <c r="C7" s="178" t="inlineStr">
        <is>
          <t>TN 76</t>
        </is>
      </c>
      <c r="D7" s="178" t="inlineStr">
        <is>
          <t>SINAL</t>
        </is>
      </c>
      <c r="E7" s="178" t="inlineStr">
        <is>
          <t>CKS</t>
        </is>
      </c>
      <c r="F7" s="178" t="inlineStr">
        <is>
          <t>TCD7H72</t>
        </is>
      </c>
      <c r="G7" s="178" t="inlineStr">
        <is>
          <t>CARAJÁS</t>
        </is>
      </c>
      <c r="H7" s="181" t="inlineStr">
        <is>
          <t>Renan</t>
        </is>
      </c>
      <c r="I7" s="180" t="inlineStr">
        <is>
          <t>8/22/2025</t>
        </is>
      </c>
      <c r="J7" s="186" t="n">
        <v>16.364</v>
      </c>
      <c r="K7" s="186" t="n">
        <v>16.659</v>
      </c>
      <c r="L7" s="182" t="inlineStr">
        <is>
          <t>8/28/2025</t>
        </is>
      </c>
      <c r="M7" s="184" t="n"/>
      <c r="N7" s="65" t="n">
        <v>45786</v>
      </c>
    </row>
    <row r="8">
      <c r="A8" s="178" t="inlineStr">
        <is>
          <t>Caminhonete</t>
        </is>
      </c>
      <c r="B8" s="178" t="inlineStr">
        <is>
          <t>HILLUX</t>
        </is>
      </c>
      <c r="C8" s="178" t="inlineStr">
        <is>
          <t>TN 04</t>
        </is>
      </c>
      <c r="D8" s="178" t="inlineStr">
        <is>
          <t>SINAL</t>
        </is>
      </c>
      <c r="E8" s="178" t="inlineStr">
        <is>
          <t>CKS</t>
        </is>
      </c>
      <c r="F8" s="178" t="inlineStr">
        <is>
          <t>TDM2E37</t>
        </is>
      </c>
      <c r="G8" s="178" t="inlineStr">
        <is>
          <t>CARAJÁS</t>
        </is>
      </c>
      <c r="H8" s="181" t="inlineStr">
        <is>
          <t>MATHEUS</t>
        </is>
      </c>
      <c r="I8" s="180" t="inlineStr">
        <is>
          <t>8/22/2025</t>
        </is>
      </c>
      <c r="J8" s="187" t="n">
        <v>12.845</v>
      </c>
      <c r="K8" s="187" t="n">
        <v>13.471</v>
      </c>
      <c r="L8" s="182" t="inlineStr">
        <is>
          <t>8/29/2025</t>
        </is>
      </c>
      <c r="M8" s="183" t="n"/>
      <c r="N8" s="65" t="n">
        <v>45786</v>
      </c>
    </row>
    <row r="9">
      <c r="A9" s="178" t="inlineStr">
        <is>
          <t>Leve</t>
        </is>
      </c>
      <c r="B9" s="178" t="inlineStr">
        <is>
          <t>Tracker</t>
        </is>
      </c>
      <c r="C9" s="178" t="inlineStr">
        <is>
          <t>TN 01</t>
        </is>
      </c>
      <c r="D9" s="178" t="inlineStr">
        <is>
          <t>Localiza</t>
        </is>
      </c>
      <c r="E9" s="178" t="inlineStr">
        <is>
          <t>CKS</t>
        </is>
      </c>
      <c r="F9" s="178" t="inlineStr">
        <is>
          <t>TCO2C15</t>
        </is>
      </c>
      <c r="G9" s="178" t="inlineStr">
        <is>
          <t>CARAJÁS</t>
        </is>
      </c>
      <c r="H9" s="181" t="inlineStr">
        <is>
          <t>Fabricio Maia</t>
        </is>
      </c>
      <c r="I9" s="180" t="inlineStr">
        <is>
          <t>8/22/2025</t>
        </is>
      </c>
      <c r="J9" s="187" t="n">
        <v>19.393</v>
      </c>
      <c r="K9" s="187" t="n">
        <v>19.818</v>
      </c>
      <c r="L9" s="66" t="inlineStr">
        <is>
          <t>8/22/2025</t>
        </is>
      </c>
      <c r="M9" s="184" t="n"/>
      <c r="N9" s="65" t="n">
        <v>45697</v>
      </c>
    </row>
    <row r="10">
      <c r="A10" s="178" t="inlineStr">
        <is>
          <t>Caminhonete</t>
        </is>
      </c>
      <c r="B10" s="178" t="inlineStr">
        <is>
          <t>Ranger</t>
        </is>
      </c>
      <c r="C10" s="178" t="inlineStr">
        <is>
          <t>TN 74</t>
        </is>
      </c>
      <c r="D10" s="178" t="inlineStr">
        <is>
          <t>SONDA</t>
        </is>
      </c>
      <c r="E10" s="178" t="inlineStr">
        <is>
          <t>CKS</t>
        </is>
      </c>
      <c r="F10" s="178" t="inlineStr">
        <is>
          <t>RDM2E33</t>
        </is>
      </c>
      <c r="G10" s="178" t="inlineStr">
        <is>
          <t>CARAJÁS</t>
        </is>
      </c>
      <c r="H10" s="181" t="inlineStr">
        <is>
          <t>Ederson</t>
        </is>
      </c>
      <c r="I10" s="180" t="inlineStr">
        <is>
          <t>8/22/2025</t>
        </is>
      </c>
      <c r="J10" s="188" t="n">
        <v>12.249</v>
      </c>
      <c r="K10" s="187" t="n">
        <v>13.396</v>
      </c>
      <c r="L10" s="182" t="inlineStr">
        <is>
          <t>8/26/2025</t>
        </is>
      </c>
      <c r="M10" s="184" t="n"/>
      <c r="N10" s="65" t="n">
        <v>45817</v>
      </c>
    </row>
    <row r="11">
      <c r="A11" s="189" t="inlineStr">
        <is>
          <t>Caminhonete</t>
        </is>
      </c>
      <c r="B11" s="189" t="inlineStr">
        <is>
          <t>Hillux</t>
        </is>
      </c>
      <c r="C11" s="190" t="inlineStr">
        <is>
          <t>TN 73</t>
        </is>
      </c>
      <c r="D11" s="189" t="inlineStr">
        <is>
          <t>SINAL</t>
        </is>
      </c>
      <c r="E11" s="189" t="inlineStr">
        <is>
          <t>CKS</t>
        </is>
      </c>
      <c r="F11" s="189" t="inlineStr">
        <is>
          <t>TCD7H73</t>
        </is>
      </c>
      <c r="G11" s="189" t="inlineStr">
        <is>
          <t>CARAJÁS</t>
        </is>
      </c>
      <c r="H11" s="191" t="inlineStr">
        <is>
          <t>William</t>
        </is>
      </c>
      <c r="I11" s="180" t="inlineStr">
        <is>
          <t>8/22/2025</t>
        </is>
      </c>
      <c r="J11" s="188" t="n">
        <v>7.852</v>
      </c>
      <c r="K11" s="187" t="n">
        <v>8.33</v>
      </c>
      <c r="L11" s="182" t="inlineStr">
        <is>
          <t>8/26/2025</t>
        </is>
      </c>
      <c r="M11" s="184" t="n"/>
      <c r="N11" s="185" t="n">
        <v>45725</v>
      </c>
    </row>
    <row r="12">
      <c r="A12" s="182" t="inlineStr">
        <is>
          <t>Caminhonete</t>
        </is>
      </c>
      <c r="B12" s="184" t="inlineStr">
        <is>
          <t>NISSAN FRONTIER</t>
        </is>
      </c>
      <c r="C12" s="184" t="inlineStr">
        <is>
          <t>TN78</t>
        </is>
      </c>
      <c r="D12" s="182" t="inlineStr">
        <is>
          <t>SONDA</t>
        </is>
      </c>
      <c r="E12" s="182" t="inlineStr">
        <is>
          <t>CKS</t>
        </is>
      </c>
      <c r="F12" s="182" t="inlineStr">
        <is>
          <t xml:space="preserve">FZY4F28 </t>
        </is>
      </c>
      <c r="G12" s="182" t="inlineStr">
        <is>
          <t>CARAJÁS</t>
        </is>
      </c>
      <c r="H12" s="182" t="inlineStr">
        <is>
          <t>Ederson</t>
        </is>
      </c>
      <c r="I12" s="180" t="inlineStr">
        <is>
          <t>8/22/2025</t>
        </is>
      </c>
      <c r="J12" s="188" t="n">
        <v>102.307</v>
      </c>
      <c r="K12" s="187" t="n">
        <v>103.385</v>
      </c>
      <c r="L12" s="184" t="inlineStr">
        <is>
          <t>8/26/2025</t>
        </is>
      </c>
      <c r="M12" s="184" t="n"/>
      <c r="N12" s="192" t="n">
        <v>45725</v>
      </c>
    </row>
  </sheetData>
  <pageMargins left="0.7" right="0.7" top="0.75" bottom="0.75" header="0.3" footer="0.3"/>
  <pageSetup orientation="portrait" paperSize="9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N12" sqref="N12"/>
    </sheetView>
  </sheetViews>
  <sheetFormatPr baseColWidth="8" defaultRowHeight="14.3"/>
  <cols>
    <col width="14.375" bestFit="1" customWidth="1" min="5" max="5"/>
    <col width="11.625" bestFit="1" customWidth="1" min="9" max="9"/>
    <col width="14" bestFit="1" customWidth="1" min="10" max="10"/>
    <col width="15.375" bestFit="1" customWidth="1" min="12" max="12"/>
    <col width="14.375" bestFit="1" customWidth="1" min="14" max="14"/>
  </cols>
  <sheetData>
    <row r="1">
      <c r="A1" s="169" t="inlineStr">
        <is>
          <t xml:space="preserve">Veículos Cadastrados </t>
        </is>
      </c>
      <c r="B1" s="170" t="n"/>
      <c r="C1" s="170" t="n"/>
      <c r="D1" s="170" t="n"/>
      <c r="E1" s="170" t="n"/>
      <c r="F1" s="170" t="n"/>
      <c r="G1" s="170" t="n"/>
      <c r="H1" s="170" t="n"/>
      <c r="I1" s="170" t="n"/>
      <c r="J1" s="170" t="n"/>
      <c r="K1" s="170" t="n"/>
      <c r="L1" s="170" t="n"/>
      <c r="M1" s="171" t="n"/>
      <c r="N1" s="172" t="n"/>
    </row>
    <row r="2">
      <c r="A2" s="193" t="inlineStr">
        <is>
          <t>Tipo</t>
        </is>
      </c>
      <c r="B2" s="193" t="inlineStr">
        <is>
          <t xml:space="preserve">Modelos </t>
        </is>
      </c>
      <c r="C2" s="193" t="inlineStr">
        <is>
          <t>Tag</t>
        </is>
      </c>
      <c r="D2" s="193" t="inlineStr">
        <is>
          <t>Locadora</t>
        </is>
      </c>
      <c r="E2" s="193" t="inlineStr">
        <is>
          <t>Localidade</t>
        </is>
      </c>
      <c r="F2" s="193" t="inlineStr">
        <is>
          <t>Placa</t>
        </is>
      </c>
      <c r="G2" s="193" t="inlineStr">
        <is>
          <t>SSO</t>
        </is>
      </c>
      <c r="H2" s="193" t="inlineStr">
        <is>
          <t>Condutores</t>
        </is>
      </c>
      <c r="I2" s="193" t="inlineStr">
        <is>
          <t>SEMANA 02</t>
        </is>
      </c>
      <c r="J2" s="193" t="inlineStr">
        <is>
          <t>KM ANTERIOR</t>
        </is>
      </c>
      <c r="K2" s="193" t="inlineStr">
        <is>
          <t>KM  ATUAL</t>
        </is>
      </c>
      <c r="L2" s="194" t="inlineStr">
        <is>
          <t>Ultima lavagem</t>
        </is>
      </c>
      <c r="M2" s="195" t="inlineStr">
        <is>
          <t>lavagem programada S-1</t>
        </is>
      </c>
      <c r="N2" s="196" t="inlineStr">
        <is>
          <t>Prox. Lavagem</t>
        </is>
      </c>
    </row>
    <row r="3">
      <c r="A3" s="197" t="inlineStr">
        <is>
          <t>Caminhonete</t>
        </is>
      </c>
      <c r="B3" s="197" t="inlineStr">
        <is>
          <t>CHEVROLET S10</t>
        </is>
      </c>
      <c r="C3" s="198" t="inlineStr">
        <is>
          <t>TN 29</t>
        </is>
      </c>
      <c r="D3" s="197" t="inlineStr">
        <is>
          <t>Sonda</t>
        </is>
      </c>
      <c r="E3" s="197" t="inlineStr">
        <is>
          <t>CKS</t>
        </is>
      </c>
      <c r="F3" s="197" t="inlineStr">
        <is>
          <t>FXR0F35</t>
        </is>
      </c>
      <c r="G3" s="197" t="inlineStr">
        <is>
          <t>CARAJÁS</t>
        </is>
      </c>
      <c r="H3" s="199" t="inlineStr">
        <is>
          <t>JOÃO TAVARES</t>
        </is>
      </c>
      <c r="I3" s="161" t="n">
        <v>45912</v>
      </c>
      <c r="J3" s="201" t="n">
        <v>167919</v>
      </c>
      <c r="K3" s="201" t="n">
        <v>168775</v>
      </c>
      <c r="L3" s="141" t="n">
        <v>45904</v>
      </c>
      <c r="M3" s="183" t="inlineStr">
        <is>
          <t>pendente</t>
        </is>
      </c>
      <c r="N3" s="59" t="n">
        <v>45915</v>
      </c>
    </row>
    <row r="4">
      <c r="A4" s="198" t="inlineStr">
        <is>
          <t>Caminhonete</t>
        </is>
      </c>
      <c r="B4" s="198" t="inlineStr">
        <is>
          <t>Hillux</t>
        </is>
      </c>
      <c r="C4" s="198" t="inlineStr">
        <is>
          <t>TN 31</t>
        </is>
      </c>
      <c r="D4" s="198" t="inlineStr">
        <is>
          <t>SINAL</t>
        </is>
      </c>
      <c r="E4" s="198" t="inlineStr">
        <is>
          <t>CKS</t>
        </is>
      </c>
      <c r="F4" s="198" t="inlineStr">
        <is>
          <t>TCD7I68</t>
        </is>
      </c>
      <c r="G4" s="197" t="inlineStr">
        <is>
          <t>CARAJÁS</t>
        </is>
      </c>
      <c r="H4" s="199" t="inlineStr">
        <is>
          <t>Lucas</t>
        </is>
      </c>
      <c r="I4" s="161" t="n">
        <v>45912</v>
      </c>
      <c r="J4" s="200" t="n">
        <v>22264</v>
      </c>
      <c r="K4" s="201" t="n">
        <v>22687</v>
      </c>
      <c r="L4" s="141" t="n">
        <v>45901</v>
      </c>
      <c r="M4" s="183" t="inlineStr">
        <is>
          <t>pendente</t>
        </is>
      </c>
      <c r="N4" s="149" t="n">
        <v>45914</v>
      </c>
    </row>
    <row r="5">
      <c r="A5" s="198" t="inlineStr">
        <is>
          <t>Caminhonete</t>
        </is>
      </c>
      <c r="B5" s="198" t="inlineStr">
        <is>
          <t xml:space="preserve">FORD RANGER </t>
        </is>
      </c>
      <c r="C5" s="198" t="inlineStr">
        <is>
          <t>TN 72</t>
        </is>
      </c>
      <c r="D5" s="198" t="inlineStr">
        <is>
          <t>Sonda</t>
        </is>
      </c>
      <c r="E5" s="198" t="inlineStr">
        <is>
          <t>CKS</t>
        </is>
      </c>
      <c r="F5" s="198" t="inlineStr">
        <is>
          <t>FXD9A18</t>
        </is>
      </c>
      <c r="G5" s="197" t="inlineStr">
        <is>
          <t>CARAJÁS</t>
        </is>
      </c>
      <c r="H5" s="199" t="inlineStr">
        <is>
          <t>RAIMUNDO CHARLES</t>
        </is>
      </c>
      <c r="I5" s="161" t="n">
        <v>45912</v>
      </c>
      <c r="J5" s="201" t="n">
        <v>103191</v>
      </c>
      <c r="K5" s="201" t="n">
        <v>104372</v>
      </c>
      <c r="L5" s="141" t="n">
        <v>45904</v>
      </c>
      <c r="M5" s="184" t="inlineStr">
        <is>
          <t>pendente</t>
        </is>
      </c>
      <c r="N5" s="59" t="n">
        <v>45916</v>
      </c>
    </row>
    <row r="6">
      <c r="A6" s="198" t="inlineStr">
        <is>
          <t>Caminhonete</t>
        </is>
      </c>
      <c r="B6" s="198" t="inlineStr">
        <is>
          <t>Hillux</t>
        </is>
      </c>
      <c r="C6" s="198" t="inlineStr">
        <is>
          <t>TN 03</t>
        </is>
      </c>
      <c r="D6" s="198" t="inlineStr">
        <is>
          <t>SINAL</t>
        </is>
      </c>
      <c r="E6" s="198" t="inlineStr">
        <is>
          <t>CKS</t>
        </is>
      </c>
      <c r="F6" s="198" t="inlineStr">
        <is>
          <t>TCD7H75</t>
        </is>
      </c>
      <c r="G6" s="197" t="inlineStr">
        <is>
          <t>CARAJÁS</t>
        </is>
      </c>
      <c r="H6" s="199" t="inlineStr">
        <is>
          <t>Lucas</t>
        </is>
      </c>
      <c r="I6" s="161" t="n">
        <v>45912</v>
      </c>
      <c r="J6" s="201" t="n">
        <v>21217</v>
      </c>
      <c r="K6" s="201" t="n">
        <v>21770</v>
      </c>
      <c r="L6" s="141" t="n">
        <v>45896</v>
      </c>
      <c r="M6" s="184" t="inlineStr">
        <is>
          <t>pendente</t>
        </is>
      </c>
      <c r="N6" s="59" t="n">
        <v>45913</v>
      </c>
    </row>
    <row r="7">
      <c r="A7" s="198" t="inlineStr">
        <is>
          <t>Caminhonete</t>
        </is>
      </c>
      <c r="B7" s="198" t="inlineStr">
        <is>
          <t>NISSAN FRONTIER</t>
        </is>
      </c>
      <c r="C7" s="198" t="inlineStr">
        <is>
          <t>TN 76</t>
        </is>
      </c>
      <c r="D7" s="198" t="inlineStr">
        <is>
          <t>SINAL</t>
        </is>
      </c>
      <c r="E7" s="198" t="inlineStr">
        <is>
          <t>CKS</t>
        </is>
      </c>
      <c r="F7" s="198" t="inlineStr">
        <is>
          <t>TCD7H72</t>
        </is>
      </c>
      <c r="G7" s="198" t="inlineStr">
        <is>
          <t>CARAJÁS</t>
        </is>
      </c>
      <c r="H7" s="200" t="inlineStr">
        <is>
          <t>Renan</t>
        </is>
      </c>
      <c r="I7" s="161" t="n">
        <v>45912</v>
      </c>
      <c r="J7" s="205" t="n">
        <v>16813</v>
      </c>
      <c r="K7" s="205" t="n">
        <v>17196</v>
      </c>
      <c r="L7" s="141" t="n">
        <v>45901</v>
      </c>
      <c r="M7" s="184" t="inlineStr">
        <is>
          <t>pendente</t>
        </is>
      </c>
      <c r="N7" s="59" t="n">
        <v>45914</v>
      </c>
    </row>
    <row r="8">
      <c r="A8" s="198" t="inlineStr">
        <is>
          <t>Caminhonete</t>
        </is>
      </c>
      <c r="B8" s="198" t="inlineStr">
        <is>
          <t>HILLUX</t>
        </is>
      </c>
      <c r="C8" s="198" t="inlineStr">
        <is>
          <t>TN 04</t>
        </is>
      </c>
      <c r="D8" s="198" t="inlineStr">
        <is>
          <t>SINAL</t>
        </is>
      </c>
      <c r="E8" s="198" t="inlineStr">
        <is>
          <t>CKS</t>
        </is>
      </c>
      <c r="F8" s="198" t="inlineStr">
        <is>
          <t>TDM2E37</t>
        </is>
      </c>
      <c r="G8" s="198" t="inlineStr">
        <is>
          <t>CARAJÁS</t>
        </is>
      </c>
      <c r="H8" s="200" t="inlineStr">
        <is>
          <t>MATHEUS</t>
        </is>
      </c>
      <c r="I8" s="161" t="n">
        <v>45912</v>
      </c>
      <c r="J8" s="207" t="n">
        <v>13916</v>
      </c>
      <c r="K8" s="207" t="n">
        <v>14847</v>
      </c>
      <c r="L8" s="141" t="n">
        <v>45908</v>
      </c>
      <c r="M8" s="183" t="inlineStr">
        <is>
          <t>ok</t>
        </is>
      </c>
      <c r="N8" s="59" t="n">
        <v>45915</v>
      </c>
    </row>
    <row r="9">
      <c r="A9" s="198" t="inlineStr">
        <is>
          <t>Leve</t>
        </is>
      </c>
      <c r="B9" s="198" t="inlineStr">
        <is>
          <t>Tracker</t>
        </is>
      </c>
      <c r="C9" s="198" t="inlineStr">
        <is>
          <t>TN 01</t>
        </is>
      </c>
      <c r="D9" s="198" t="inlineStr">
        <is>
          <t>Localiza</t>
        </is>
      </c>
      <c r="E9" s="198" t="inlineStr">
        <is>
          <t>CKS</t>
        </is>
      </c>
      <c r="F9" s="198" t="inlineStr">
        <is>
          <t>TCO2C15</t>
        </is>
      </c>
      <c r="G9" s="198" t="inlineStr">
        <is>
          <t>CARAJÁS</t>
        </is>
      </c>
      <c r="H9" s="200" t="inlineStr">
        <is>
          <t>Fabricio Maia</t>
        </is>
      </c>
      <c r="I9" s="161" t="n">
        <v>45912</v>
      </c>
      <c r="J9" s="207" t="n">
        <v>20009</v>
      </c>
      <c r="K9" s="207" t="n">
        <v>20169</v>
      </c>
      <c r="L9" s="59" t="n">
        <v>45891</v>
      </c>
      <c r="M9" s="184" t="n"/>
      <c r="N9" s="59" t="n"/>
    </row>
    <row r="10">
      <c r="A10" s="198" t="inlineStr">
        <is>
          <t>Caminhonete</t>
        </is>
      </c>
      <c r="B10" s="198" t="inlineStr">
        <is>
          <t>Ranger</t>
        </is>
      </c>
      <c r="C10" s="198" t="inlineStr">
        <is>
          <t>TN 74</t>
        </is>
      </c>
      <c r="D10" s="198" t="inlineStr">
        <is>
          <t>SONDA</t>
        </is>
      </c>
      <c r="E10" s="198" t="inlineStr">
        <is>
          <t>CKS</t>
        </is>
      </c>
      <c r="F10" s="198" t="inlineStr">
        <is>
          <t>RDM2E33</t>
        </is>
      </c>
      <c r="G10" s="198" t="inlineStr">
        <is>
          <t>CARAJÁS</t>
        </is>
      </c>
      <c r="H10" s="200" t="inlineStr">
        <is>
          <t>Ederson</t>
        </is>
      </c>
      <c r="I10" s="161" t="n">
        <v>45912</v>
      </c>
      <c r="J10" s="207" t="n">
        <v>13907</v>
      </c>
      <c r="K10" s="207" t="n">
        <v>14370</v>
      </c>
      <c r="L10" s="141" t="n">
        <v>45895</v>
      </c>
      <c r="M10" s="184" t="inlineStr">
        <is>
          <t>pendente</t>
        </is>
      </c>
      <c r="N10" s="59" t="n">
        <v>45916</v>
      </c>
    </row>
    <row r="11">
      <c r="A11" s="208" t="inlineStr">
        <is>
          <t>Caminhonete</t>
        </is>
      </c>
      <c r="B11" s="208" t="inlineStr">
        <is>
          <t>Hillux</t>
        </is>
      </c>
      <c r="C11" s="209" t="inlineStr">
        <is>
          <t>TN 73</t>
        </is>
      </c>
      <c r="D11" s="208" t="inlineStr">
        <is>
          <t>SINAL</t>
        </is>
      </c>
      <c r="E11" s="208" t="inlineStr">
        <is>
          <t>CKS</t>
        </is>
      </c>
      <c r="F11" s="208" t="inlineStr">
        <is>
          <t>TCD7H73</t>
        </is>
      </c>
      <c r="G11" s="208" t="inlineStr">
        <is>
          <t>CARAJÁS</t>
        </is>
      </c>
      <c r="H11" s="210" t="inlineStr">
        <is>
          <t>William</t>
        </is>
      </c>
      <c r="I11" s="161" t="n">
        <v>45912</v>
      </c>
      <c r="J11" s="207" t="n">
        <v>8330</v>
      </c>
      <c r="K11" s="206" t="n">
        <v>9201</v>
      </c>
      <c r="L11" s="141" t="n">
        <v>45905</v>
      </c>
      <c r="M11" s="184" t="inlineStr">
        <is>
          <t>ok</t>
        </is>
      </c>
      <c r="N11" s="149" t="n">
        <v>45918</v>
      </c>
    </row>
    <row r="12">
      <c r="A12" s="202" t="inlineStr">
        <is>
          <t>Caminhonete</t>
        </is>
      </c>
      <c r="B12" s="204" t="inlineStr">
        <is>
          <t>NISSAN FRONTIER</t>
        </is>
      </c>
      <c r="C12" s="204" t="inlineStr">
        <is>
          <t>TN78</t>
        </is>
      </c>
      <c r="D12" s="202" t="inlineStr">
        <is>
          <t>SONDA</t>
        </is>
      </c>
      <c r="E12" s="202" t="inlineStr">
        <is>
          <t>CKS</t>
        </is>
      </c>
      <c r="F12" s="202" t="inlineStr">
        <is>
          <t xml:space="preserve">FZY4F28 </t>
        </is>
      </c>
      <c r="G12" s="202" t="inlineStr">
        <is>
          <t>CARAJÁS</t>
        </is>
      </c>
      <c r="H12" s="202" t="inlineStr">
        <is>
          <t>Ederson</t>
        </is>
      </c>
      <c r="I12" s="161" t="n">
        <v>45912</v>
      </c>
      <c r="J12" s="207" t="n">
        <v>104417</v>
      </c>
      <c r="K12" s="212" t="n"/>
      <c r="L12" s="213" t="n"/>
      <c r="M12" s="214" t="n"/>
      <c r="N12" s="59" t="n">
        <v>45912</v>
      </c>
    </row>
    <row r="13"/>
    <row r="14"/>
    <row r="15"/>
    <row r="16">
      <c r="D16" s="215" t="n"/>
      <c r="E16" s="215" t="n"/>
    </row>
    <row r="17">
      <c r="D17" s="197" t="n"/>
      <c r="E17" s="197" t="n"/>
    </row>
    <row r="18">
      <c r="D18" s="197" t="n"/>
      <c r="E18" s="197" t="n"/>
      <c r="I18" s="318" t="inlineStr">
        <is>
          <t>TN78 manutenção</t>
        </is>
      </c>
    </row>
    <row r="19">
      <c r="D19" s="197" t="n"/>
      <c r="E19" s="197" t="n"/>
    </row>
    <row r="20">
      <c r="D20" s="197" t="n"/>
      <c r="E20" s="197" t="n"/>
    </row>
    <row r="21">
      <c r="D21" s="197" t="n"/>
      <c r="E21" s="197" t="n"/>
    </row>
    <row r="22">
      <c r="D22" s="197" t="n"/>
      <c r="E22" s="197" t="n"/>
    </row>
    <row r="23">
      <c r="D23" s="197" t="n"/>
      <c r="E23" s="197" t="n"/>
    </row>
    <row r="24">
      <c r="D24" s="197" t="n"/>
      <c r="E24" s="197" t="n"/>
    </row>
    <row r="25">
      <c r="D25" s="208" t="n"/>
      <c r="E25" s="208" t="n"/>
    </row>
    <row r="26">
      <c r="D26" s="202" t="n"/>
      <c r="E26" s="202" t="n"/>
    </row>
  </sheetData>
  <mergeCells count="1">
    <mergeCell ref="I18:J18"/>
  </mergeCells>
  <pageMargins left="0.7" right="0.7" top="0.75" bottom="0.75" header="0.3" footer="0.3"/>
  <pageSetup orientation="portrait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L6" sqref="L6"/>
    </sheetView>
  </sheetViews>
  <sheetFormatPr baseColWidth="8" defaultRowHeight="14.3"/>
  <cols>
    <col width="11.625" bestFit="1" customWidth="1" min="9" max="9"/>
    <col width="15.375" bestFit="1" customWidth="1" min="12" max="12"/>
    <col width="14.375" bestFit="1" customWidth="1" min="14" max="14"/>
  </cols>
  <sheetData>
    <row r="1">
      <c r="A1" s="169" t="inlineStr">
        <is>
          <t xml:space="preserve">Veículos Cadastrados </t>
        </is>
      </c>
      <c r="B1" s="170" t="n"/>
      <c r="C1" s="170" t="n"/>
      <c r="D1" s="170" t="n"/>
      <c r="E1" s="170" t="n"/>
      <c r="F1" s="170" t="n"/>
      <c r="G1" s="170" t="n"/>
      <c r="H1" s="170" t="n"/>
      <c r="I1" s="170" t="n"/>
      <c r="J1" s="170" t="n"/>
      <c r="K1" s="170" t="n"/>
      <c r="L1" s="170" t="n"/>
      <c r="M1" s="171" t="n"/>
      <c r="N1" s="172" t="n"/>
    </row>
    <row r="2">
      <c r="A2" s="193" t="inlineStr">
        <is>
          <t>Tipo</t>
        </is>
      </c>
      <c r="B2" s="193" t="inlineStr">
        <is>
          <t xml:space="preserve">Modelos </t>
        </is>
      </c>
      <c r="C2" s="193" t="inlineStr">
        <is>
          <t>Tag</t>
        </is>
      </c>
      <c r="D2" s="193" t="inlineStr">
        <is>
          <t>Locadora</t>
        </is>
      </c>
      <c r="E2" s="193" t="inlineStr">
        <is>
          <t>Localidade</t>
        </is>
      </c>
      <c r="F2" s="193" t="inlineStr">
        <is>
          <t>Placa</t>
        </is>
      </c>
      <c r="G2" s="193" t="inlineStr">
        <is>
          <t>SSO</t>
        </is>
      </c>
      <c r="H2" s="193" t="inlineStr">
        <is>
          <t>Condutores</t>
        </is>
      </c>
      <c r="I2" s="193" t="inlineStr">
        <is>
          <t>SEMANA 01</t>
        </is>
      </c>
      <c r="J2" s="193" t="inlineStr">
        <is>
          <t>KM ANTERIOR</t>
        </is>
      </c>
      <c r="K2" s="193" t="inlineStr">
        <is>
          <t>KM  ATUAL</t>
        </is>
      </c>
      <c r="L2" s="194" t="inlineStr">
        <is>
          <t>Ultima lavagem</t>
        </is>
      </c>
      <c r="M2" s="195" t="inlineStr">
        <is>
          <t>lavagem programada S-1</t>
        </is>
      </c>
      <c r="N2" s="196" t="inlineStr">
        <is>
          <t>Prox. Lavagem</t>
        </is>
      </c>
    </row>
    <row r="3">
      <c r="A3" s="197" t="inlineStr">
        <is>
          <t>Caminhonete</t>
        </is>
      </c>
      <c r="B3" s="197" t="inlineStr">
        <is>
          <t>CHEVROLET S10</t>
        </is>
      </c>
      <c r="C3" s="198" t="inlineStr">
        <is>
          <t>TN 29</t>
        </is>
      </c>
      <c r="D3" s="197" t="inlineStr">
        <is>
          <t>Sonda</t>
        </is>
      </c>
      <c r="E3" s="197" t="inlineStr">
        <is>
          <t>CKS</t>
        </is>
      </c>
      <c r="F3" s="197" t="inlineStr">
        <is>
          <t>FXR0F35</t>
        </is>
      </c>
      <c r="G3" s="197" t="inlineStr">
        <is>
          <t>CARAJÁS</t>
        </is>
      </c>
      <c r="H3" s="199" t="inlineStr">
        <is>
          <t>JOÃO TAVARES</t>
        </is>
      </c>
      <c r="I3" s="161" t="n">
        <v>45905</v>
      </c>
      <c r="J3" s="201" t="n">
        <v>167056</v>
      </c>
      <c r="K3" s="201" t="n">
        <v>167919</v>
      </c>
      <c r="L3" s="141" t="n">
        <v>45905</v>
      </c>
      <c r="M3" s="183" t="inlineStr">
        <is>
          <t>ok</t>
        </is>
      </c>
      <c r="N3" s="59" t="n">
        <v>45912</v>
      </c>
    </row>
    <row r="4">
      <c r="A4" s="197" t="inlineStr">
        <is>
          <t>Caminhonete</t>
        </is>
      </c>
      <c r="B4" s="197" t="inlineStr">
        <is>
          <t>Hillux</t>
        </is>
      </c>
      <c r="C4" s="198" t="inlineStr">
        <is>
          <t>TN 31</t>
        </is>
      </c>
      <c r="D4" s="197" t="inlineStr">
        <is>
          <t>SINAL</t>
        </is>
      </c>
      <c r="E4" s="197" t="inlineStr">
        <is>
          <t>CKS</t>
        </is>
      </c>
      <c r="F4" s="197" t="inlineStr">
        <is>
          <t>TCD7I68</t>
        </is>
      </c>
      <c r="G4" s="197" t="inlineStr">
        <is>
          <t>CARAJÁS</t>
        </is>
      </c>
      <c r="H4" s="199" t="inlineStr">
        <is>
          <t>Lucas</t>
        </is>
      </c>
      <c r="I4" s="161" t="n">
        <v>45905</v>
      </c>
      <c r="J4" s="201" t="n">
        <v>22094</v>
      </c>
      <c r="K4" s="200" t="n">
        <v>22264</v>
      </c>
      <c r="L4" s="203" t="n">
        <v>45901</v>
      </c>
      <c r="M4" s="183" t="inlineStr">
        <is>
          <t>OK</t>
        </is>
      </c>
      <c r="N4" s="149" t="n">
        <v>45907</v>
      </c>
    </row>
    <row r="5">
      <c r="A5" s="197" t="inlineStr">
        <is>
          <t>Caminhonete</t>
        </is>
      </c>
      <c r="B5" s="197" t="inlineStr">
        <is>
          <t xml:space="preserve">FORD RANGER </t>
        </is>
      </c>
      <c r="C5" s="198" t="inlineStr">
        <is>
          <t>TN 72</t>
        </is>
      </c>
      <c r="D5" s="197" t="inlineStr">
        <is>
          <t>Sonda</t>
        </is>
      </c>
      <c r="E5" s="197" t="inlineStr">
        <is>
          <t>CKS</t>
        </is>
      </c>
      <c r="F5" s="197" t="inlineStr">
        <is>
          <t>FXD9A18</t>
        </is>
      </c>
      <c r="G5" s="197" t="inlineStr">
        <is>
          <t>CARAJÁS</t>
        </is>
      </c>
      <c r="H5" s="199" t="inlineStr">
        <is>
          <t>RAIMUNDO CHARLES</t>
        </is>
      </c>
      <c r="I5" s="161" t="n">
        <v>45905</v>
      </c>
      <c r="J5" s="201" t="n">
        <v>102406</v>
      </c>
      <c r="K5" s="201" t="n">
        <v>103191</v>
      </c>
      <c r="L5" s="141" t="n">
        <v>45873</v>
      </c>
      <c r="M5" s="184" t="inlineStr">
        <is>
          <t>ok</t>
        </is>
      </c>
      <c r="N5" s="59" t="n">
        <v>45912</v>
      </c>
    </row>
    <row r="6">
      <c r="A6" s="197" t="inlineStr">
        <is>
          <t>Caminhonete</t>
        </is>
      </c>
      <c r="B6" s="197" t="inlineStr">
        <is>
          <t>Hillux</t>
        </is>
      </c>
      <c r="C6" s="198" t="inlineStr">
        <is>
          <t>TN 03</t>
        </is>
      </c>
      <c r="D6" s="197" t="inlineStr">
        <is>
          <t>SINAL</t>
        </is>
      </c>
      <c r="E6" s="197" t="inlineStr">
        <is>
          <t>CKS</t>
        </is>
      </c>
      <c r="F6" s="197" t="inlineStr">
        <is>
          <t>TCD7H75</t>
        </is>
      </c>
      <c r="G6" s="197" t="inlineStr">
        <is>
          <t>CARAJÁS</t>
        </is>
      </c>
      <c r="H6" s="199" t="inlineStr">
        <is>
          <t>Lucas</t>
        </is>
      </c>
      <c r="I6" s="161" t="n">
        <v>45905</v>
      </c>
      <c r="J6" s="201" t="n">
        <v>20710</v>
      </c>
      <c r="K6" s="201" t="n">
        <v>21217</v>
      </c>
      <c r="L6" s="141" t="n">
        <v>45896</v>
      </c>
      <c r="M6" s="184" t="inlineStr">
        <is>
          <t>pendente</t>
        </is>
      </c>
      <c r="N6" s="59" t="n">
        <v>45906</v>
      </c>
    </row>
    <row r="7">
      <c r="A7" s="198" t="inlineStr">
        <is>
          <t>Caminhonete</t>
        </is>
      </c>
      <c r="B7" s="198" t="inlineStr">
        <is>
          <t>NISSAN FRONTIER</t>
        </is>
      </c>
      <c r="C7" s="198" t="inlineStr">
        <is>
          <t>TN 76</t>
        </is>
      </c>
      <c r="D7" s="198" t="inlineStr">
        <is>
          <t>SINAL</t>
        </is>
      </c>
      <c r="E7" s="198" t="inlineStr">
        <is>
          <t>CKS</t>
        </is>
      </c>
      <c r="F7" s="198" t="inlineStr">
        <is>
          <t>TCD7H72</t>
        </is>
      </c>
      <c r="G7" s="198" t="inlineStr">
        <is>
          <t>CARAJÁS</t>
        </is>
      </c>
      <c r="H7" s="200" t="inlineStr">
        <is>
          <t>Renan</t>
        </is>
      </c>
      <c r="I7" s="161" t="n">
        <v>45905</v>
      </c>
      <c r="J7" s="205" t="n">
        <v>16659</v>
      </c>
      <c r="K7" s="205" t="n">
        <v>16813</v>
      </c>
      <c r="L7" s="141" t="n">
        <v>45901</v>
      </c>
      <c r="M7" s="184" t="inlineStr">
        <is>
          <t>ok</t>
        </is>
      </c>
      <c r="N7" s="59" t="n">
        <v>45908</v>
      </c>
    </row>
    <row r="8">
      <c r="A8" s="198" t="inlineStr">
        <is>
          <t>Caminhonete</t>
        </is>
      </c>
      <c r="B8" s="198" t="inlineStr">
        <is>
          <t>HILLUX</t>
        </is>
      </c>
      <c r="C8" s="198" t="inlineStr">
        <is>
          <t>TN 04</t>
        </is>
      </c>
      <c r="D8" s="198" t="inlineStr">
        <is>
          <t>SINAL</t>
        </is>
      </c>
      <c r="E8" s="198" t="inlineStr">
        <is>
          <t>CKS</t>
        </is>
      </c>
      <c r="F8" s="198" t="inlineStr">
        <is>
          <t>TDM2E37</t>
        </is>
      </c>
      <c r="G8" s="198" t="inlineStr">
        <is>
          <t>CARAJÁS</t>
        </is>
      </c>
      <c r="H8" s="200" t="inlineStr">
        <is>
          <t>MATHEUS</t>
        </is>
      </c>
      <c r="I8" s="161" t="n">
        <v>45905</v>
      </c>
      <c r="J8" s="207" t="n">
        <v>13471</v>
      </c>
      <c r="K8" s="207" t="n">
        <v>13916</v>
      </c>
      <c r="L8" s="203" t="n">
        <v>45901</v>
      </c>
      <c r="M8" s="183" t="inlineStr">
        <is>
          <t>OK</t>
        </is>
      </c>
      <c r="N8" s="59" t="n">
        <v>45909</v>
      </c>
    </row>
    <row r="9">
      <c r="A9" s="198" t="inlineStr">
        <is>
          <t>Leve</t>
        </is>
      </c>
      <c r="B9" s="198" t="inlineStr">
        <is>
          <t>Tracker</t>
        </is>
      </c>
      <c r="C9" s="198" t="inlineStr">
        <is>
          <t>TN 01</t>
        </is>
      </c>
      <c r="D9" s="198" t="inlineStr">
        <is>
          <t>Localiza</t>
        </is>
      </c>
      <c r="E9" s="198" t="inlineStr">
        <is>
          <t>CKS</t>
        </is>
      </c>
      <c r="F9" s="198" t="inlineStr">
        <is>
          <t>TCO2C15</t>
        </is>
      </c>
      <c r="G9" s="198" t="inlineStr">
        <is>
          <t>CARAJÁS</t>
        </is>
      </c>
      <c r="H9" s="200" t="inlineStr">
        <is>
          <t>Fabricio Maia</t>
        </is>
      </c>
      <c r="I9" s="161" t="n">
        <v>45905</v>
      </c>
      <c r="J9" s="207" t="n">
        <v>19818</v>
      </c>
      <c r="K9" s="207" t="n">
        <v>20009</v>
      </c>
      <c r="L9" s="59" t="n">
        <v>45891</v>
      </c>
      <c r="M9" s="184" t="inlineStr">
        <is>
          <t>pendente</t>
        </is>
      </c>
      <c r="N9" s="59" t="n"/>
    </row>
    <row r="10">
      <c r="A10" s="198" t="inlineStr">
        <is>
          <t>Caminhonete</t>
        </is>
      </c>
      <c r="B10" s="198" t="inlineStr">
        <is>
          <t>Ranger</t>
        </is>
      </c>
      <c r="C10" s="198" t="inlineStr">
        <is>
          <t>TN 74</t>
        </is>
      </c>
      <c r="D10" s="198" t="inlineStr">
        <is>
          <t>SONDA</t>
        </is>
      </c>
      <c r="E10" s="198" t="inlineStr">
        <is>
          <t>CKS</t>
        </is>
      </c>
      <c r="F10" s="198" t="inlineStr">
        <is>
          <t>RDM2E33</t>
        </is>
      </c>
      <c r="G10" s="198" t="inlineStr">
        <is>
          <t>CARAJÁS</t>
        </is>
      </c>
      <c r="H10" s="200" t="inlineStr">
        <is>
          <t>Ederson</t>
        </is>
      </c>
      <c r="I10" s="161" t="n">
        <v>45905</v>
      </c>
      <c r="J10" s="207" t="n">
        <v>13396</v>
      </c>
      <c r="K10" s="207" t="n">
        <v>13907</v>
      </c>
      <c r="L10" s="141" t="n">
        <v>45895</v>
      </c>
      <c r="M10" s="184" t="inlineStr">
        <is>
          <t>pendente</t>
        </is>
      </c>
      <c r="N10" s="59" t="n">
        <v>45908</v>
      </c>
    </row>
    <row r="11">
      <c r="A11" s="208" t="inlineStr">
        <is>
          <t>Caminhonete</t>
        </is>
      </c>
      <c r="B11" s="208" t="inlineStr">
        <is>
          <t>Hillux</t>
        </is>
      </c>
      <c r="C11" s="209" t="inlineStr">
        <is>
          <t>TN 73</t>
        </is>
      </c>
      <c r="D11" s="208" t="inlineStr">
        <is>
          <t>SINAL</t>
        </is>
      </c>
      <c r="E11" s="208" t="inlineStr">
        <is>
          <t>CKS</t>
        </is>
      </c>
      <c r="F11" s="208" t="inlineStr">
        <is>
          <t>TCD7H73</t>
        </is>
      </c>
      <c r="G11" s="208" t="inlineStr">
        <is>
          <t>CARAJÁS</t>
        </is>
      </c>
      <c r="H11" s="210" t="inlineStr">
        <is>
          <t>William</t>
        </is>
      </c>
      <c r="I11" s="161" t="n">
        <v>45905</v>
      </c>
      <c r="J11" s="207" t="n">
        <v>8330</v>
      </c>
      <c r="K11" s="206" t="n"/>
      <c r="L11" s="141" t="n">
        <v>45895</v>
      </c>
      <c r="M11" s="184" t="inlineStr">
        <is>
          <t>pendente</t>
        </is>
      </c>
      <c r="N11" s="149" t="n">
        <v>45911</v>
      </c>
    </row>
    <row r="12">
      <c r="A12" s="202" t="inlineStr">
        <is>
          <t>Caminhonete</t>
        </is>
      </c>
      <c r="B12" s="204" t="inlineStr">
        <is>
          <t>NISSAN FRONTIER</t>
        </is>
      </c>
      <c r="C12" s="204" t="inlineStr">
        <is>
          <t>TN78</t>
        </is>
      </c>
      <c r="D12" s="202" t="inlineStr">
        <is>
          <t>SONDA</t>
        </is>
      </c>
      <c r="E12" s="202" t="inlineStr">
        <is>
          <t>CKS</t>
        </is>
      </c>
      <c r="F12" s="202" t="inlineStr">
        <is>
          <t xml:space="preserve">FZY4F28 </t>
        </is>
      </c>
      <c r="G12" s="202" t="inlineStr">
        <is>
          <t>CARAJÁS</t>
        </is>
      </c>
      <c r="H12" s="202" t="inlineStr">
        <is>
          <t>Ederson</t>
        </is>
      </c>
      <c r="I12" s="161" t="n">
        <v>45905</v>
      </c>
      <c r="J12" s="207" t="n">
        <v>103385</v>
      </c>
      <c r="K12" s="207" t="n">
        <v>104417</v>
      </c>
      <c r="L12" s="211" t="n">
        <v>45905</v>
      </c>
      <c r="M12" s="184" t="inlineStr">
        <is>
          <t>ok</t>
        </is>
      </c>
      <c r="N12" s="59" t="n">
        <v>45912</v>
      </c>
    </row>
    <row r="13"/>
    <row r="14"/>
    <row r="15"/>
    <row r="16">
      <c r="E16" s="47" t="inlineStr">
        <is>
          <t>TN73 Manutenção desde 04/09</t>
        </is>
      </c>
      <c r="F16" s="47" t="n"/>
      <c r="G16" s="47" t="n"/>
    </row>
    <row r="17">
      <c r="H17" s="209" t="n"/>
      <c r="I17" s="149" t="n"/>
    </row>
    <row r="18">
      <c r="H18" s="204" t="n"/>
      <c r="I18" s="59" t="n"/>
    </row>
  </sheetData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R38"/>
  <sheetViews>
    <sheetView view="pageBreakPreview" topLeftCell="B1" zoomScale="90" zoomScaleNormal="90" zoomScaleSheetLayoutView="90" workbookViewId="0">
      <selection activeCell="A1" sqref="A1:R39"/>
    </sheetView>
  </sheetViews>
  <sheetFormatPr baseColWidth="8" defaultColWidth="9.125" defaultRowHeight="14.3"/>
  <cols>
    <col width="16.125" customWidth="1" min="1" max="1"/>
    <col width="15.625" customWidth="1" min="2" max="5"/>
    <col width="11.125" customWidth="1" min="6" max="6"/>
    <col width="12.875" customWidth="1" min="7" max="7"/>
    <col width="19.5" bestFit="1" customWidth="1" min="8" max="8"/>
    <col width="13.625" bestFit="1" customWidth="1" min="9" max="9"/>
    <col width="11.125" bestFit="1" customWidth="1" min="10" max="10"/>
    <col width="11.125" customWidth="1" min="11" max="13"/>
    <col width="16.375" bestFit="1" customWidth="1" min="14" max="14"/>
    <col width="16.375" customWidth="1" min="15" max="15"/>
    <col width="19.875" bestFit="1" customWidth="1" style="229" min="16" max="16"/>
    <col width="26.875" bestFit="1" customWidth="1" min="17" max="17"/>
    <col width="18.375" bestFit="1" customWidth="1" min="18" max="18"/>
  </cols>
  <sheetData>
    <row r="1">
      <c r="A1" s="169" t="inlineStr">
        <is>
          <t xml:space="preserve">Veículos Cadastrados </t>
        </is>
      </c>
      <c r="B1" s="170" t="n"/>
      <c r="C1" s="170" t="n"/>
      <c r="D1" s="170" t="n"/>
      <c r="E1" s="170" t="n"/>
      <c r="F1" s="170" t="n"/>
      <c r="G1" s="170" t="n"/>
      <c r="H1" s="170" t="n"/>
      <c r="I1" s="170" t="n"/>
      <c r="J1" s="170" t="n"/>
      <c r="K1" s="170" t="n"/>
      <c r="L1" s="170" t="n"/>
      <c r="M1" s="170" t="n"/>
      <c r="N1" s="170" t="n"/>
      <c r="O1" s="170" t="n"/>
      <c r="P1" s="228" t="n"/>
      <c r="Q1" s="171" t="n"/>
      <c r="R1" s="172" t="n"/>
    </row>
    <row r="2">
      <c r="A2" s="193" t="inlineStr">
        <is>
          <t>Tipo</t>
        </is>
      </c>
      <c r="B2" s="193" t="inlineStr">
        <is>
          <t xml:space="preserve">Modelos </t>
        </is>
      </c>
      <c r="C2" s="193" t="inlineStr">
        <is>
          <t>Tag</t>
        </is>
      </c>
      <c r="D2" s="193" t="inlineStr">
        <is>
          <t>Locadora</t>
        </is>
      </c>
      <c r="E2" s="193" t="inlineStr">
        <is>
          <t>Localidade</t>
        </is>
      </c>
      <c r="F2" s="193" t="inlineStr">
        <is>
          <t>Placa</t>
        </is>
      </c>
      <c r="G2" s="193" t="inlineStr">
        <is>
          <t>SSO</t>
        </is>
      </c>
      <c r="H2" s="193" t="inlineStr">
        <is>
          <t>Condutores</t>
        </is>
      </c>
      <c r="I2" s="193" t="inlineStr">
        <is>
          <t>SEMANA S1</t>
        </is>
      </c>
      <c r="J2" s="193" t="inlineStr">
        <is>
          <t>KM INICIAL</t>
        </is>
      </c>
      <c r="K2" s="216" t="inlineStr">
        <is>
          <t>S1</t>
        </is>
      </c>
      <c r="L2" s="216" t="inlineStr">
        <is>
          <t>S2</t>
        </is>
      </c>
      <c r="M2" s="216" t="inlineStr">
        <is>
          <t>S3</t>
        </is>
      </c>
      <c r="N2" s="216" t="inlineStr">
        <is>
          <t>S4</t>
        </is>
      </c>
      <c r="O2" s="216" t="inlineStr">
        <is>
          <t>S5</t>
        </is>
      </c>
      <c r="P2" s="236" t="inlineStr">
        <is>
          <t>ULTIMA LAVAGEM</t>
        </is>
      </c>
      <c r="Q2" s="216" t="inlineStr">
        <is>
          <t>STATUS DA LAVAGEM</t>
        </is>
      </c>
      <c r="R2" s="216" t="inlineStr">
        <is>
          <t>PROX. LAVAGEM</t>
        </is>
      </c>
    </row>
    <row r="3">
      <c r="A3" s="198" t="inlineStr">
        <is>
          <t>Leve</t>
        </is>
      </c>
      <c r="B3" s="198" t="inlineStr">
        <is>
          <t>Tracker</t>
        </is>
      </c>
      <c r="C3" s="238" t="inlineStr">
        <is>
          <t>TN 01</t>
        </is>
      </c>
      <c r="D3" s="198" t="inlineStr">
        <is>
          <t>Localiza</t>
        </is>
      </c>
      <c r="E3" s="198" t="inlineStr">
        <is>
          <t>CKS</t>
        </is>
      </c>
      <c r="F3" s="198" t="inlineStr">
        <is>
          <t>TCO2C15</t>
        </is>
      </c>
      <c r="G3" s="198" t="inlineStr">
        <is>
          <t>CARAJÁS</t>
        </is>
      </c>
      <c r="H3" s="249" t="n"/>
      <c r="I3" s="244" t="n">
        <v>45933</v>
      </c>
      <c r="J3" s="237" t="n">
        <v>19800</v>
      </c>
      <c r="K3" s="237" t="n">
        <v>19800</v>
      </c>
      <c r="L3" s="237" t="n">
        <v>20411</v>
      </c>
      <c r="M3" s="207" t="n">
        <v>21000</v>
      </c>
      <c r="N3" s="207" t="inlineStr">
        <is>
          <t>Aguardando Mob</t>
        </is>
      </c>
      <c r="O3" s="207" t="inlineStr">
        <is>
          <t>Aguardando Mob</t>
        </is>
      </c>
      <c r="P3" s="242" t="n">
        <v>45947</v>
      </c>
      <c r="Q3" s="233" t="inlineStr">
        <is>
          <t xml:space="preserve">PENDENTE </t>
        </is>
      </c>
      <c r="R3" s="240" t="n"/>
    </row>
    <row r="4">
      <c r="A4" s="198" t="inlineStr">
        <is>
          <t>Caminhonete</t>
        </is>
      </c>
      <c r="B4" s="198" t="inlineStr">
        <is>
          <t>Hillux</t>
        </is>
      </c>
      <c r="C4" s="238" t="inlineStr">
        <is>
          <t>TN 03</t>
        </is>
      </c>
      <c r="D4" s="198" t="inlineStr">
        <is>
          <t>SINAL</t>
        </is>
      </c>
      <c r="E4" s="198" t="inlineStr">
        <is>
          <t>CKS</t>
        </is>
      </c>
      <c r="F4" s="198" t="inlineStr">
        <is>
          <t>TCD7H75</t>
        </is>
      </c>
      <c r="G4" s="197" t="inlineStr">
        <is>
          <t>CARAJÁS</t>
        </is>
      </c>
      <c r="H4" s="249" t="n"/>
      <c r="I4" s="244" t="n">
        <v>45933</v>
      </c>
      <c r="J4" s="201" t="n">
        <v>22281</v>
      </c>
      <c r="K4" s="237" t="n">
        <v>22820</v>
      </c>
      <c r="L4" s="207" t="n">
        <v>23289</v>
      </c>
      <c r="M4" s="207" t="n">
        <v>24183</v>
      </c>
      <c r="N4" s="207" t="n">
        <v>24769</v>
      </c>
      <c r="O4" s="207" t="n">
        <v>25589</v>
      </c>
      <c r="P4" s="242" t="n">
        <v>45939</v>
      </c>
      <c r="Q4" s="233" t="inlineStr">
        <is>
          <t xml:space="preserve">PENDENTE </t>
        </is>
      </c>
      <c r="R4" s="241" t="n">
        <v>45939</v>
      </c>
    </row>
    <row r="5">
      <c r="A5" s="198" t="inlineStr">
        <is>
          <t>Caminhonete</t>
        </is>
      </c>
      <c r="B5" s="198" t="inlineStr">
        <is>
          <t>HILLUX</t>
        </is>
      </c>
      <c r="C5" s="235" t="inlineStr">
        <is>
          <t>TN 04</t>
        </is>
      </c>
      <c r="D5" s="198" t="inlineStr">
        <is>
          <t>SINAL</t>
        </is>
      </c>
      <c r="E5" s="198" t="inlineStr">
        <is>
          <t>CKS</t>
        </is>
      </c>
      <c r="F5" s="198" t="inlineStr">
        <is>
          <t>TDM2E37</t>
        </is>
      </c>
      <c r="G5" s="198" t="inlineStr">
        <is>
          <t>CARAJÁS</t>
        </is>
      </c>
      <c r="H5" s="249" t="n"/>
      <c r="I5" s="244" t="n">
        <v>45933</v>
      </c>
      <c r="J5" s="201" t="n">
        <v>15856</v>
      </c>
      <c r="K5" s="207" t="n">
        <v>16500</v>
      </c>
      <c r="L5" s="207" t="n">
        <v>16586</v>
      </c>
      <c r="M5" s="207" t="n">
        <v>17241</v>
      </c>
      <c r="N5" s="207" t="n">
        <v>18035</v>
      </c>
      <c r="O5" s="207" t="n">
        <v>18849</v>
      </c>
      <c r="P5" s="242" t="n">
        <v>45955</v>
      </c>
      <c r="Q5" s="233" t="inlineStr">
        <is>
          <t xml:space="preserve">PENDENTE </t>
        </is>
      </c>
      <c r="R5" s="241" t="n">
        <v>45962</v>
      </c>
    </row>
    <row r="6">
      <c r="A6" s="197" t="inlineStr">
        <is>
          <t>Caminhonete</t>
        </is>
      </c>
      <c r="B6" s="197" t="inlineStr">
        <is>
          <t>CHEVROLET S10</t>
        </is>
      </c>
      <c r="C6" s="238" t="inlineStr">
        <is>
          <t>TN 29</t>
        </is>
      </c>
      <c r="D6" s="197" t="inlineStr">
        <is>
          <t>SONDA</t>
        </is>
      </c>
      <c r="E6" s="197" t="inlineStr">
        <is>
          <t>CKS</t>
        </is>
      </c>
      <c r="F6" s="197" t="inlineStr">
        <is>
          <t>FXR0F35</t>
        </is>
      </c>
      <c r="G6" s="197" t="inlineStr">
        <is>
          <t>CARAJÁS</t>
        </is>
      </c>
      <c r="H6" s="245" t="inlineStr">
        <is>
          <t xml:space="preserve">MOIZES GARCIA </t>
        </is>
      </c>
      <c r="I6" s="244" t="n">
        <v>45933</v>
      </c>
      <c r="J6" s="201" t="n">
        <v>170693</v>
      </c>
      <c r="K6" s="207" t="n">
        <v>171497</v>
      </c>
      <c r="L6" s="207" t="n">
        <v>171843</v>
      </c>
      <c r="M6" s="207" t="n">
        <v>172488</v>
      </c>
      <c r="N6" s="207" t="n">
        <v>173051</v>
      </c>
      <c r="O6" s="207" t="inlineStr">
        <is>
          <t>Manutenção</t>
        </is>
      </c>
      <c r="P6" s="242" t="n">
        <v>45954</v>
      </c>
      <c r="Q6" s="233" t="inlineStr">
        <is>
          <t xml:space="preserve">PENDENTE </t>
        </is>
      </c>
      <c r="R6" s="241" t="n">
        <v>45961</v>
      </c>
    </row>
    <row r="7">
      <c r="A7" s="198" t="inlineStr">
        <is>
          <t>Caminhonete</t>
        </is>
      </c>
      <c r="B7" s="198" t="inlineStr">
        <is>
          <t>Hillux</t>
        </is>
      </c>
      <c r="C7" s="238" t="inlineStr">
        <is>
          <t>TN 31</t>
        </is>
      </c>
      <c r="D7" s="198" t="inlineStr">
        <is>
          <t>SINAL</t>
        </is>
      </c>
      <c r="E7" s="198" t="inlineStr">
        <is>
          <t>CKS</t>
        </is>
      </c>
      <c r="F7" s="198" t="inlineStr">
        <is>
          <t>TCD7I68</t>
        </is>
      </c>
      <c r="G7" s="197" t="inlineStr">
        <is>
          <t>CARAJÁS</t>
        </is>
      </c>
      <c r="H7" s="245" t="inlineStr">
        <is>
          <t xml:space="preserve">ROBSON </t>
        </is>
      </c>
      <c r="I7" s="244" t="n">
        <v>45933</v>
      </c>
      <c r="J7" s="205" t="n">
        <v>23590</v>
      </c>
      <c r="K7" s="207" t="n">
        <v>23933</v>
      </c>
      <c r="L7" s="237" t="n">
        <v>24473</v>
      </c>
      <c r="M7" s="207" t="n">
        <v>24859</v>
      </c>
      <c r="N7" s="207" t="inlineStr">
        <is>
          <t>Em manutenção</t>
        </is>
      </c>
      <c r="O7" s="207" t="n">
        <v>25610</v>
      </c>
      <c r="P7" s="242" t="n">
        <v>45961</v>
      </c>
      <c r="Q7" s="233" t="inlineStr">
        <is>
          <t xml:space="preserve">PENDENTE </t>
        </is>
      </c>
      <c r="R7" s="241" t="n">
        <v>45968</v>
      </c>
    </row>
    <row r="8">
      <c r="A8" s="198" t="inlineStr">
        <is>
          <t>Caminhonete</t>
        </is>
      </c>
      <c r="B8" s="198" t="inlineStr">
        <is>
          <t xml:space="preserve">FORD RANGER </t>
        </is>
      </c>
      <c r="C8" s="198" t="inlineStr">
        <is>
          <t>TN 72</t>
        </is>
      </c>
      <c r="D8" s="198" t="inlineStr">
        <is>
          <t>SINAL</t>
        </is>
      </c>
      <c r="E8" s="198" t="inlineStr">
        <is>
          <t>CKS</t>
        </is>
      </c>
      <c r="F8" s="198" t="inlineStr">
        <is>
          <t>FXD9A18</t>
        </is>
      </c>
      <c r="G8" s="197" t="inlineStr">
        <is>
          <t>CARAJÁS</t>
        </is>
      </c>
      <c r="H8" s="245" t="inlineStr">
        <is>
          <t>JOÃO PAULO</t>
        </is>
      </c>
      <c r="I8" s="244" t="n">
        <v>45933</v>
      </c>
      <c r="J8" s="207" t="n">
        <v>105942</v>
      </c>
      <c r="K8" s="207" t="n">
        <v>106810</v>
      </c>
      <c r="L8" s="207" t="n">
        <v>107554</v>
      </c>
      <c r="M8" s="207" t="n">
        <v>108427</v>
      </c>
      <c r="N8" s="207" t="n">
        <v>109124</v>
      </c>
      <c r="O8" s="207" t="n">
        <v>109814</v>
      </c>
      <c r="P8" s="240" t="n">
        <v>45947</v>
      </c>
      <c r="Q8" s="233" t="inlineStr">
        <is>
          <t xml:space="preserve">PENDENTE </t>
        </is>
      </c>
      <c r="R8" s="240" t="n">
        <v>45947</v>
      </c>
    </row>
    <row r="9">
      <c r="A9" s="197" t="inlineStr">
        <is>
          <t>Caminhonete</t>
        </is>
      </c>
      <c r="B9" s="197" t="inlineStr">
        <is>
          <t>Hillux</t>
        </is>
      </c>
      <c r="C9" s="238" t="inlineStr">
        <is>
          <t>TN 73</t>
        </is>
      </c>
      <c r="D9" s="197" t="inlineStr">
        <is>
          <t>SINAL</t>
        </is>
      </c>
      <c r="E9" s="197" t="inlineStr">
        <is>
          <t>CKS</t>
        </is>
      </c>
      <c r="F9" s="197" t="inlineStr">
        <is>
          <t>TCD7H73</t>
        </is>
      </c>
      <c r="G9" s="197" t="inlineStr">
        <is>
          <t>CARAJÁS</t>
        </is>
      </c>
      <c r="H9" s="248" t="inlineStr">
        <is>
          <t>GABRIEL OLIVEIRA</t>
        </is>
      </c>
      <c r="I9" s="244" t="n">
        <v>45933</v>
      </c>
      <c r="J9" s="207" t="n">
        <v>10129</v>
      </c>
      <c r="K9" s="207" t="n">
        <v>10268</v>
      </c>
      <c r="L9" s="237" t="n">
        <v>10642</v>
      </c>
      <c r="M9" s="207" t="n">
        <v>11514</v>
      </c>
      <c r="N9" s="207" t="n">
        <v>12366</v>
      </c>
      <c r="O9" s="207" t="n">
        <v>12954</v>
      </c>
      <c r="P9" s="243" t="n">
        <v>45961</v>
      </c>
      <c r="Q9" s="233" t="inlineStr">
        <is>
          <t xml:space="preserve">PENDENTE </t>
        </is>
      </c>
      <c r="R9" s="240" t="n">
        <v>45968</v>
      </c>
    </row>
    <row r="10">
      <c r="A10" s="198" t="inlineStr">
        <is>
          <t>Caminhonete</t>
        </is>
      </c>
      <c r="B10" s="198" t="inlineStr">
        <is>
          <t>Ranger</t>
        </is>
      </c>
      <c r="C10" s="198" t="inlineStr">
        <is>
          <t>TN 74</t>
        </is>
      </c>
      <c r="D10" s="198" t="inlineStr">
        <is>
          <t>SINAL</t>
        </is>
      </c>
      <c r="E10" s="198" t="inlineStr">
        <is>
          <t>CKS</t>
        </is>
      </c>
      <c r="F10" s="198" t="inlineStr">
        <is>
          <t>RDM2E33</t>
        </is>
      </c>
      <c r="G10" s="198" t="inlineStr">
        <is>
          <t>CARAJÁS</t>
        </is>
      </c>
      <c r="H10" s="249" t="n"/>
      <c r="I10" s="244" t="n">
        <v>45933</v>
      </c>
      <c r="J10" s="207" t="n">
        <v>15563</v>
      </c>
      <c r="K10" s="234" t="n">
        <v>16297</v>
      </c>
      <c r="L10" s="207" t="n">
        <v>17042</v>
      </c>
      <c r="M10" s="207" t="n">
        <v>17753</v>
      </c>
      <c r="N10" s="207" t="n">
        <v>18567</v>
      </c>
      <c r="O10" s="207" t="n">
        <v>19333</v>
      </c>
      <c r="P10" s="242" t="n">
        <v>45957</v>
      </c>
      <c r="Q10" s="233" t="inlineStr">
        <is>
          <t xml:space="preserve">PENDENTE </t>
        </is>
      </c>
      <c r="R10" s="240" t="n">
        <v>45964</v>
      </c>
    </row>
    <row r="11">
      <c r="A11" s="209" t="inlineStr">
        <is>
          <t>Caminhonete</t>
        </is>
      </c>
      <c r="B11" s="209" t="inlineStr">
        <is>
          <t>NISSAN FRONTIER</t>
        </is>
      </c>
      <c r="C11" s="209" t="inlineStr">
        <is>
          <t>TN 76</t>
        </is>
      </c>
      <c r="D11" s="209" t="inlineStr">
        <is>
          <t>SINAL</t>
        </is>
      </c>
      <c r="E11" s="209" t="inlineStr">
        <is>
          <t>CKS</t>
        </is>
      </c>
      <c r="F11" s="209" t="inlineStr">
        <is>
          <t>TCD7H72</t>
        </is>
      </c>
      <c r="G11" s="209" t="inlineStr">
        <is>
          <t>CARAJÁS</t>
        </is>
      </c>
      <c r="H11" s="246" t="inlineStr">
        <is>
          <t>ROSIVALDO CORREA</t>
        </is>
      </c>
      <c r="I11" s="244" t="n">
        <v>45933</v>
      </c>
      <c r="J11" s="207" t="n">
        <v>18225</v>
      </c>
      <c r="K11" s="207" t="n">
        <v>18712</v>
      </c>
      <c r="L11" s="207" t="n">
        <v>19374</v>
      </c>
      <c r="M11" s="207" t="n">
        <v>19716</v>
      </c>
      <c r="N11" s="207" t="n">
        <v>20192</v>
      </c>
      <c r="O11" s="207" t="n">
        <v>20577</v>
      </c>
      <c r="P11" s="242" t="n">
        <v>45960</v>
      </c>
      <c r="Q11" s="233" t="inlineStr">
        <is>
          <t xml:space="preserve">PENDENTE </t>
        </is>
      </c>
      <c r="R11" s="240" t="n">
        <v>45967</v>
      </c>
    </row>
    <row r="12">
      <c r="A12" s="202" t="inlineStr">
        <is>
          <t>Caminhonete</t>
        </is>
      </c>
      <c r="B12" s="204" t="inlineStr">
        <is>
          <t>NISSAN FRONTIER</t>
        </is>
      </c>
      <c r="C12" s="204" t="inlineStr">
        <is>
          <t>TN78</t>
        </is>
      </c>
      <c r="D12" s="202" t="inlineStr">
        <is>
          <t>SONDA</t>
        </is>
      </c>
      <c r="E12" s="202" t="inlineStr">
        <is>
          <t>CKS</t>
        </is>
      </c>
      <c r="F12" s="202" t="inlineStr">
        <is>
          <t xml:space="preserve">FZY4F28 </t>
        </is>
      </c>
      <c r="G12" s="202" t="inlineStr">
        <is>
          <t>CARAJÁS</t>
        </is>
      </c>
      <c r="H12" s="247" t="inlineStr">
        <is>
          <t>RENATO RAMALHO</t>
        </is>
      </c>
      <c r="I12" s="244" t="n">
        <v>45933</v>
      </c>
      <c r="J12" s="207" t="n">
        <v>106747</v>
      </c>
      <c r="K12" s="207" t="n">
        <v>107701</v>
      </c>
      <c r="L12" s="207" t="n">
        <v>108671</v>
      </c>
      <c r="M12" s="207" t="n">
        <v>109494</v>
      </c>
      <c r="N12" s="207" t="n">
        <v>110515</v>
      </c>
      <c r="O12" s="207" t="n">
        <v>111391</v>
      </c>
      <c r="P12" s="240" t="n">
        <v>45961</v>
      </c>
      <c r="Q12" s="233" t="inlineStr">
        <is>
          <t xml:space="preserve">PENDENTE </t>
        </is>
      </c>
      <c r="R12" s="240" t="n">
        <v>45968</v>
      </c>
    </row>
    <row r="13"/>
    <row r="14">
      <c r="A14" s="169" t="inlineStr">
        <is>
          <t xml:space="preserve">Veículos Cadastrados </t>
        </is>
      </c>
      <c r="B14" s="170" t="n"/>
      <c r="C14" s="170" t="n"/>
      <c r="D14" s="170" t="n"/>
      <c r="E14" s="170" t="n"/>
      <c r="F14" s="255" t="n"/>
      <c r="G14" s="170" t="n"/>
      <c r="H14" s="170" t="n"/>
      <c r="I14" s="170" t="n"/>
      <c r="J14" s="170" t="n"/>
      <c r="K14" s="170" t="n"/>
      <c r="L14" s="170" t="n"/>
      <c r="M14" s="170" t="n"/>
      <c r="N14" s="170" t="n"/>
      <c r="O14" s="170" t="n"/>
      <c r="P14" s="228" t="n"/>
      <c r="Q14" s="171" t="n"/>
      <c r="R14" s="172" t="n"/>
    </row>
    <row r="15" hidden="1">
      <c r="A15" s="193" t="inlineStr">
        <is>
          <t>Tipo</t>
        </is>
      </c>
      <c r="B15" s="193" t="inlineStr">
        <is>
          <t xml:space="preserve">Modelos </t>
        </is>
      </c>
      <c r="C15" s="193" t="inlineStr">
        <is>
          <t>Tag</t>
        </is>
      </c>
      <c r="D15" s="193" t="inlineStr">
        <is>
          <t>Locadora</t>
        </is>
      </c>
      <c r="E15" s="193" t="inlineStr">
        <is>
          <t>Localidade</t>
        </is>
      </c>
      <c r="F15" s="193" t="inlineStr">
        <is>
          <t>Placa</t>
        </is>
      </c>
      <c r="G15" s="193" t="inlineStr">
        <is>
          <t>SSO</t>
        </is>
      </c>
      <c r="H15" s="193" t="inlineStr">
        <is>
          <t>Condutores</t>
        </is>
      </c>
      <c r="I15" s="193" t="inlineStr">
        <is>
          <t>SEMANA 02</t>
        </is>
      </c>
      <c r="J15" s="193" t="inlineStr">
        <is>
          <t>KM TOTAL</t>
        </is>
      </c>
      <c r="K15" s="216" t="inlineStr">
        <is>
          <t>S1</t>
        </is>
      </c>
      <c r="L15" s="216" t="inlineStr">
        <is>
          <t>S2</t>
        </is>
      </c>
      <c r="M15" s="216" t="inlineStr">
        <is>
          <t>S3</t>
        </is>
      </c>
      <c r="N15" s="216" t="inlineStr">
        <is>
          <t>S4</t>
        </is>
      </c>
      <c r="O15" s="216" t="n"/>
      <c r="P15" s="230" t="inlineStr">
        <is>
          <t>ULTIMA LAVAGEM</t>
        </is>
      </c>
      <c r="Q15" s="231" t="inlineStr">
        <is>
          <t xml:space="preserve">LAVAGEM PROGRAMADA </t>
        </is>
      </c>
      <c r="R15" s="232" t="inlineStr">
        <is>
          <t>PROX. LAVAGEM</t>
        </is>
      </c>
    </row>
    <row r="16" hidden="1">
      <c r="A16" s="198" t="inlineStr">
        <is>
          <t>Leve</t>
        </is>
      </c>
      <c r="B16" s="198" t="inlineStr">
        <is>
          <t>Tracker</t>
        </is>
      </c>
      <c r="C16" s="198" t="inlineStr">
        <is>
          <t>TN 01</t>
        </is>
      </c>
      <c r="D16" s="198" t="inlineStr">
        <is>
          <t>Localiza</t>
        </is>
      </c>
      <c r="E16" s="198" t="inlineStr">
        <is>
          <t>CKS</t>
        </is>
      </c>
      <c r="F16" s="198" t="inlineStr">
        <is>
          <t>TCO2C15</t>
        </is>
      </c>
      <c r="G16" s="198" t="inlineStr">
        <is>
          <t>CARAJÁS</t>
        </is>
      </c>
      <c r="H16" s="200" t="inlineStr">
        <is>
          <t>Fabricio Maia</t>
        </is>
      </c>
      <c r="I16" s="161" t="n">
        <v>45912</v>
      </c>
      <c r="J16" s="201">
        <f>SUM(K16:N16)</f>
        <v/>
      </c>
      <c r="K16" s="207">
        <f>K3-$J3</f>
        <v/>
      </c>
      <c r="L16" s="207">
        <f>L3-$J3</f>
        <v/>
      </c>
      <c r="M16" s="207">
        <f>M3-$J3</f>
        <v/>
      </c>
      <c r="N16" s="207">
        <f>N3-$J3</f>
        <v/>
      </c>
      <c r="O16" s="207" t="n"/>
      <c r="P16" s="141" t="n">
        <v>45891</v>
      </c>
      <c r="Q16" s="218" t="n"/>
      <c r="R16" s="98" t="n"/>
    </row>
    <row r="17" hidden="1">
      <c r="A17" s="198" t="inlineStr">
        <is>
          <t>Caminhonete</t>
        </is>
      </c>
      <c r="B17" s="198" t="inlineStr">
        <is>
          <t>Hillux</t>
        </is>
      </c>
      <c r="C17" s="198" t="inlineStr">
        <is>
          <t>TN 03</t>
        </is>
      </c>
      <c r="D17" s="198" t="inlineStr">
        <is>
          <t>SINAL</t>
        </is>
      </c>
      <c r="E17" s="198" t="inlineStr">
        <is>
          <t>CKS</t>
        </is>
      </c>
      <c r="F17" s="198" t="inlineStr">
        <is>
          <t>TCD7H75</t>
        </is>
      </c>
      <c r="G17" s="197" t="inlineStr">
        <is>
          <t>CARAJÁS</t>
        </is>
      </c>
      <c r="H17" s="199" t="inlineStr">
        <is>
          <t>Lucas</t>
        </is>
      </c>
      <c r="I17" s="161" t="n">
        <v>45912</v>
      </c>
      <c r="J17" s="201">
        <f>SUM(K17:N17)</f>
        <v/>
      </c>
      <c r="K17" s="207">
        <f>K4-$J4</f>
        <v/>
      </c>
      <c r="L17" s="207">
        <f>L4-$J4</f>
        <v/>
      </c>
      <c r="M17" s="207">
        <f>M4-$J4</f>
        <v/>
      </c>
      <c r="N17" s="207">
        <f>N4-$J4</f>
        <v/>
      </c>
      <c r="O17" s="207" t="n"/>
      <c r="P17" s="141" t="n">
        <v>45896</v>
      </c>
      <c r="Q17" s="218" t="inlineStr">
        <is>
          <t>pendente</t>
        </is>
      </c>
      <c r="R17" s="99" t="n">
        <v>45921</v>
      </c>
    </row>
    <row r="18" hidden="1">
      <c r="A18" s="198" t="inlineStr">
        <is>
          <t>Caminhonete</t>
        </is>
      </c>
      <c r="B18" s="198" t="inlineStr">
        <is>
          <t>HILLUX</t>
        </is>
      </c>
      <c r="C18" s="198" t="inlineStr">
        <is>
          <t>TN 04</t>
        </is>
      </c>
      <c r="D18" s="198" t="inlineStr">
        <is>
          <t>SINAL</t>
        </is>
      </c>
      <c r="E18" s="198" t="inlineStr">
        <is>
          <t>CKS</t>
        </is>
      </c>
      <c r="F18" s="198" t="inlineStr">
        <is>
          <t>TDM2E37</t>
        </is>
      </c>
      <c r="G18" s="198" t="inlineStr">
        <is>
          <t>CARAJÁS</t>
        </is>
      </c>
      <c r="H18" s="200" t="inlineStr">
        <is>
          <t>MATHEUS</t>
        </is>
      </c>
      <c r="I18" s="161" t="n">
        <v>45912</v>
      </c>
      <c r="J18" s="201">
        <f>SUM(K18:N18)</f>
        <v/>
      </c>
      <c r="K18" s="207">
        <f>K5-$J5</f>
        <v/>
      </c>
      <c r="L18" s="207">
        <f>L5-$J5</f>
        <v/>
      </c>
      <c r="M18" s="207">
        <f>M5-$J5</f>
        <v/>
      </c>
      <c r="N18" s="207">
        <f>N5-$J5</f>
        <v/>
      </c>
      <c r="O18" s="207" t="n"/>
      <c r="P18" s="141" t="n">
        <v>45908</v>
      </c>
      <c r="Q18" s="182" t="inlineStr">
        <is>
          <t>ok</t>
        </is>
      </c>
      <c r="R18" s="99" t="n">
        <v>45919</v>
      </c>
    </row>
    <row r="19" hidden="1">
      <c r="A19" s="197" t="inlineStr">
        <is>
          <t>Caminhonete</t>
        </is>
      </c>
      <c r="B19" s="197" t="inlineStr">
        <is>
          <t>CHEVROLET S10</t>
        </is>
      </c>
      <c r="C19" s="198" t="inlineStr">
        <is>
          <t>TN 29</t>
        </is>
      </c>
      <c r="D19" s="197" t="inlineStr">
        <is>
          <t>Sonda</t>
        </is>
      </c>
      <c r="E19" s="197" t="inlineStr">
        <is>
          <t>CKS</t>
        </is>
      </c>
      <c r="F19" s="197" t="inlineStr">
        <is>
          <t>FXR0F35</t>
        </is>
      </c>
      <c r="G19" s="197" t="inlineStr">
        <is>
          <t>CARAJÁS</t>
        </is>
      </c>
      <c r="H19" s="199" t="inlineStr">
        <is>
          <t>JOÃO TAVARES</t>
        </is>
      </c>
      <c r="I19" s="161" t="n">
        <v>45912</v>
      </c>
      <c r="J19" s="201">
        <f>SUM(K19:N19)</f>
        <v/>
      </c>
      <c r="K19" s="207">
        <f>K6-$J6</f>
        <v/>
      </c>
      <c r="L19" s="207">
        <f>L6-$J6</f>
        <v/>
      </c>
      <c r="M19" s="207">
        <f>M6-$J6</f>
        <v/>
      </c>
      <c r="N19" s="207">
        <f>N6-$J6</f>
        <v/>
      </c>
      <c r="O19" s="207" t="n"/>
      <c r="P19" s="141" t="n">
        <v>45916</v>
      </c>
      <c r="Q19" s="182" t="inlineStr">
        <is>
          <t>ok</t>
        </is>
      </c>
      <c r="R19" s="99" t="n">
        <v>45924</v>
      </c>
    </row>
    <row r="20" hidden="1">
      <c r="A20" s="198" t="inlineStr">
        <is>
          <t>Caminhonete</t>
        </is>
      </c>
      <c r="B20" s="198" t="inlineStr">
        <is>
          <t>Hillux</t>
        </is>
      </c>
      <c r="C20" s="198" t="inlineStr">
        <is>
          <t>TN 31</t>
        </is>
      </c>
      <c r="D20" s="198" t="inlineStr">
        <is>
          <t>SINAL</t>
        </is>
      </c>
      <c r="E20" s="198" t="inlineStr">
        <is>
          <t>CKS</t>
        </is>
      </c>
      <c r="F20" s="198" t="inlineStr">
        <is>
          <t>TCD7I68</t>
        </is>
      </c>
      <c r="G20" s="197" t="inlineStr">
        <is>
          <t>CARAJÁS</t>
        </is>
      </c>
      <c r="H20" s="199" t="inlineStr">
        <is>
          <t>Lucas</t>
        </is>
      </c>
      <c r="I20" s="161" t="n">
        <v>45912</v>
      </c>
      <c r="J20" s="201">
        <f>SUM(K20:N20)</f>
        <v/>
      </c>
      <c r="K20" s="207">
        <f>K7-$J7</f>
        <v/>
      </c>
      <c r="L20" s="207">
        <f>L7-$J7</f>
        <v/>
      </c>
      <c r="M20" s="207">
        <f>M7-$J7</f>
        <v/>
      </c>
      <c r="N20" s="207">
        <f>N7-$J7</f>
        <v/>
      </c>
      <c r="O20" s="207" t="n"/>
      <c r="P20" s="141" t="n">
        <v>45901</v>
      </c>
      <c r="Q20" s="182" t="inlineStr">
        <is>
          <t>pendente</t>
        </is>
      </c>
      <c r="R20" s="99" t="n">
        <v>45920</v>
      </c>
    </row>
    <row r="21" hidden="1">
      <c r="A21" s="198" t="inlineStr">
        <is>
          <t>Caminhonete</t>
        </is>
      </c>
      <c r="B21" s="198" t="inlineStr">
        <is>
          <t xml:space="preserve">FORD RANGER </t>
        </is>
      </c>
      <c r="C21" s="198" t="inlineStr">
        <is>
          <t>TN 72</t>
        </is>
      </c>
      <c r="D21" s="198" t="inlineStr">
        <is>
          <t>Sonda</t>
        </is>
      </c>
      <c r="E21" s="198" t="inlineStr">
        <is>
          <t>CKS</t>
        </is>
      </c>
      <c r="F21" s="198" t="inlineStr">
        <is>
          <t>FXD9A18</t>
        </is>
      </c>
      <c r="G21" s="197" t="inlineStr">
        <is>
          <t>CARAJÁS</t>
        </is>
      </c>
      <c r="H21" s="199" t="inlineStr">
        <is>
          <t>RAIMUNDO CHARLES</t>
        </is>
      </c>
      <c r="I21" s="161" t="n">
        <v>45912</v>
      </c>
      <c r="J21" s="201">
        <f>SUM(K21:N21)</f>
        <v/>
      </c>
      <c r="K21" s="207">
        <f>K8-$J8</f>
        <v/>
      </c>
      <c r="L21" s="207">
        <f>L8-$J8</f>
        <v/>
      </c>
      <c r="M21" s="207">
        <f>M8-$J8</f>
        <v/>
      </c>
      <c r="N21" s="207">
        <f>N8-$J8</f>
        <v/>
      </c>
      <c r="O21" s="207" t="n"/>
      <c r="P21" s="141" t="n">
        <v>45904</v>
      </c>
      <c r="Q21" s="218" t="inlineStr">
        <is>
          <t>pendente</t>
        </is>
      </c>
      <c r="R21" s="99" t="n">
        <v>45926</v>
      </c>
    </row>
    <row r="22" hidden="1">
      <c r="A22" s="197" t="inlineStr">
        <is>
          <t>Caminhonete</t>
        </is>
      </c>
      <c r="B22" s="197" t="inlineStr">
        <is>
          <t>Hillux</t>
        </is>
      </c>
      <c r="C22" s="198" t="inlineStr">
        <is>
          <t>TN 73</t>
        </is>
      </c>
      <c r="D22" s="197" t="inlineStr">
        <is>
          <t>SINAL</t>
        </is>
      </c>
      <c r="E22" s="197" t="inlineStr">
        <is>
          <t>CKS</t>
        </is>
      </c>
      <c r="F22" s="197" t="inlineStr">
        <is>
          <t>TCD7H73</t>
        </is>
      </c>
      <c r="G22" s="197" t="inlineStr">
        <is>
          <t>CARAJÁS</t>
        </is>
      </c>
      <c r="H22" s="199" t="inlineStr">
        <is>
          <t>William</t>
        </is>
      </c>
      <c r="I22" s="161" t="n">
        <v>45912</v>
      </c>
      <c r="J22" s="201">
        <f>SUM(K22:N22)</f>
        <v/>
      </c>
      <c r="K22" s="207">
        <f>K9-$J9</f>
        <v/>
      </c>
      <c r="L22" s="207">
        <f>L9-$J9</f>
        <v/>
      </c>
      <c r="M22" s="207">
        <f>M9-$J9</f>
        <v/>
      </c>
      <c r="N22" s="207">
        <f>N9-$J9</f>
        <v/>
      </c>
      <c r="O22" s="251" t="n"/>
      <c r="P22" s="59" t="n">
        <v>45905</v>
      </c>
      <c r="Q22" s="184" t="inlineStr">
        <is>
          <t>pendente</t>
        </is>
      </c>
      <c r="R22" s="99" t="n">
        <v>45924</v>
      </c>
    </row>
    <row r="23" hidden="1">
      <c r="A23" s="198" t="inlineStr">
        <is>
          <t>Caminhonete</t>
        </is>
      </c>
      <c r="B23" s="198" t="inlineStr">
        <is>
          <t>Ranger</t>
        </is>
      </c>
      <c r="C23" s="198" t="inlineStr">
        <is>
          <t>TN 74</t>
        </is>
      </c>
      <c r="D23" s="198" t="inlineStr">
        <is>
          <t>SONDA</t>
        </is>
      </c>
      <c r="E23" s="198" t="inlineStr">
        <is>
          <t>CKS</t>
        </is>
      </c>
      <c r="F23" s="198" t="inlineStr">
        <is>
          <t>RDM2E33</t>
        </is>
      </c>
      <c r="G23" s="198" t="inlineStr">
        <is>
          <t>CARAJÁS</t>
        </is>
      </c>
      <c r="H23" s="200" t="inlineStr">
        <is>
          <t>Ederson</t>
        </is>
      </c>
      <c r="I23" s="161" t="n">
        <v>45912</v>
      </c>
      <c r="J23" s="201">
        <f>SUM(K23:N23)</f>
        <v/>
      </c>
      <c r="K23" s="207">
        <f>K10-$J10</f>
        <v/>
      </c>
      <c r="L23" s="207">
        <f>L10-$J10</f>
        <v/>
      </c>
      <c r="M23" s="207">
        <f>M10-$J10</f>
        <v/>
      </c>
      <c r="N23" s="207">
        <f>N10-$J10</f>
        <v/>
      </c>
      <c r="O23" s="207" t="n"/>
      <c r="P23" s="141" t="n">
        <v>45918</v>
      </c>
      <c r="Q23" s="184" t="inlineStr">
        <is>
          <t>ok</t>
        </is>
      </c>
      <c r="R23" s="99" t="n">
        <v>45923</v>
      </c>
    </row>
    <row r="24" hidden="1">
      <c r="A24" s="209" t="inlineStr">
        <is>
          <t>Caminhonete</t>
        </is>
      </c>
      <c r="B24" s="209" t="inlineStr">
        <is>
          <t>NISSAN FRONTIER</t>
        </is>
      </c>
      <c r="C24" s="209" t="inlineStr">
        <is>
          <t>TN 76</t>
        </is>
      </c>
      <c r="D24" s="209" t="inlineStr">
        <is>
          <t>SINAL</t>
        </is>
      </c>
      <c r="E24" s="209" t="inlineStr">
        <is>
          <t>CKS</t>
        </is>
      </c>
      <c r="F24" s="209" t="inlineStr">
        <is>
          <t>TCD7H72</t>
        </is>
      </c>
      <c r="G24" s="209" t="inlineStr">
        <is>
          <t>CARAJÁS</t>
        </is>
      </c>
      <c r="H24" s="217" t="inlineStr">
        <is>
          <t>Renan</t>
        </is>
      </c>
      <c r="I24" s="161" t="n">
        <v>45912</v>
      </c>
      <c r="J24" s="201">
        <f>SUM(K24:N24)</f>
        <v/>
      </c>
      <c r="K24" s="207">
        <f>K11-$J11</f>
        <v/>
      </c>
      <c r="L24" s="207">
        <f>L11-$J11</f>
        <v/>
      </c>
      <c r="M24" s="207">
        <f>M11-$J11</f>
        <v/>
      </c>
      <c r="N24" s="207">
        <f>N11-$J11</f>
        <v/>
      </c>
      <c r="O24" s="207" t="n"/>
      <c r="P24" s="141" t="n">
        <v>45901</v>
      </c>
      <c r="Q24" s="184" t="inlineStr">
        <is>
          <t>pendente</t>
        </is>
      </c>
      <c r="R24" s="99" t="n">
        <v>45922</v>
      </c>
    </row>
    <row r="25" hidden="1">
      <c r="A25" s="202" t="inlineStr">
        <is>
          <t>Caminhonete</t>
        </is>
      </c>
      <c r="B25" s="204" t="inlineStr">
        <is>
          <t>NISSAN FRONTIER</t>
        </is>
      </c>
      <c r="C25" s="204" t="inlineStr">
        <is>
          <t>TN78</t>
        </is>
      </c>
      <c r="D25" s="202" t="inlineStr">
        <is>
          <t>SONDA</t>
        </is>
      </c>
      <c r="E25" s="202" t="inlineStr">
        <is>
          <t>CKS</t>
        </is>
      </c>
      <c r="F25" s="202" t="inlineStr">
        <is>
          <t xml:space="preserve">FZY4F28 </t>
        </is>
      </c>
      <c r="G25" s="202" t="inlineStr">
        <is>
          <t>CARAJÁS</t>
        </is>
      </c>
      <c r="H25" s="202" t="inlineStr">
        <is>
          <t>Ederson</t>
        </is>
      </c>
      <c r="I25" s="161" t="n">
        <v>45912</v>
      </c>
      <c r="J25" s="201">
        <f>SUM(K25:N25)</f>
        <v/>
      </c>
      <c r="K25" s="207">
        <f>K12-$J12</f>
        <v/>
      </c>
      <c r="L25" s="207">
        <f>L12-$J12</f>
        <v/>
      </c>
      <c r="M25" s="207">
        <f>M12-$J12</f>
        <v/>
      </c>
      <c r="N25" s="207">
        <f>N12-$J12</f>
        <v/>
      </c>
      <c r="O25" s="207" t="n"/>
      <c r="P25" s="141" t="n">
        <v>45905</v>
      </c>
      <c r="Q25" s="184" t="inlineStr">
        <is>
          <t>pendente</t>
        </is>
      </c>
      <c r="R25" s="99" t="n">
        <v>45922</v>
      </c>
    </row>
    <row r="26" ht="14.95" customHeight="1" thickBot="1"/>
    <row r="27" ht="28.55" customHeight="1">
      <c r="A27" s="319" t="inlineStr">
        <is>
          <t>ACOMPANHAMENTO KM SEMANA</t>
        </is>
      </c>
      <c r="B27" s="328" t="n"/>
      <c r="C27" s="328" t="n"/>
      <c r="D27" s="328" t="n"/>
      <c r="E27" s="328" t="n"/>
      <c r="F27" s="226" t="n"/>
      <c r="G27" s="250" t="inlineStr">
        <is>
          <t>ULTIMA LAVAGEM</t>
        </is>
      </c>
    </row>
    <row r="28" ht="14.95" customHeight="1" thickBot="1">
      <c r="A28" s="227" t="inlineStr">
        <is>
          <t>TAG</t>
        </is>
      </c>
      <c r="B28" s="222" t="inlineStr">
        <is>
          <t>S1</t>
        </is>
      </c>
      <c r="C28" s="222" t="inlineStr">
        <is>
          <t>S2</t>
        </is>
      </c>
      <c r="D28" s="222" t="inlineStr">
        <is>
          <t>S3</t>
        </is>
      </c>
      <c r="E28" s="223" t="inlineStr">
        <is>
          <t>S4</t>
        </is>
      </c>
      <c r="F28" s="223" t="inlineStr">
        <is>
          <t>S5</t>
        </is>
      </c>
      <c r="G28" s="224" t="inlineStr">
        <is>
          <t>ACUM.</t>
        </is>
      </c>
      <c r="H28" s="225">
        <f>TODAY()</f>
        <v/>
      </c>
      <c r="Q28" s="229" t="n"/>
    </row>
    <row r="29" ht="14.95" customHeight="1" thickBot="1">
      <c r="A29" s="252" t="inlineStr">
        <is>
          <t>TN 01</t>
        </is>
      </c>
      <c r="B29" s="253" t="n"/>
      <c r="C29" s="254" t="n">
        <v>611</v>
      </c>
      <c r="D29" s="254" t="n">
        <v>589</v>
      </c>
      <c r="E29" s="254" t="n"/>
      <c r="F29" s="256" t="n"/>
      <c r="G29" s="257" t="n">
        <v>1200</v>
      </c>
      <c r="H29" s="239">
        <f>R3</f>
        <v/>
      </c>
      <c r="Q29" s="229" t="n"/>
    </row>
    <row r="30" ht="14.95" customHeight="1" thickBot="1">
      <c r="A30" s="219" t="inlineStr">
        <is>
          <t>TN 03</t>
        </is>
      </c>
      <c r="B30" s="253" t="n">
        <v>539</v>
      </c>
      <c r="C30" s="254" t="n">
        <v>469</v>
      </c>
      <c r="D30" s="254" t="n">
        <v>894</v>
      </c>
      <c r="E30" s="254" t="n">
        <v>586</v>
      </c>
      <c r="F30" s="254" t="n">
        <v>820</v>
      </c>
      <c r="G30" s="257" t="n">
        <v>3308</v>
      </c>
      <c r="H30" s="239">
        <f>R4</f>
        <v/>
      </c>
      <c r="Q30" s="229" t="n"/>
    </row>
    <row r="31" ht="14.95" customHeight="1" thickBot="1">
      <c r="A31" s="219" t="inlineStr">
        <is>
          <t>TN 04</t>
        </is>
      </c>
      <c r="B31" s="253" t="n">
        <v>644</v>
      </c>
      <c r="C31" s="254" t="n">
        <v>86</v>
      </c>
      <c r="D31" s="254" t="n">
        <v>655</v>
      </c>
      <c r="E31" s="254" t="n">
        <v>794</v>
      </c>
      <c r="F31" s="254" t="n">
        <v>814</v>
      </c>
      <c r="G31" s="257" t="n">
        <v>2993</v>
      </c>
      <c r="H31" s="239">
        <f>R5</f>
        <v/>
      </c>
      <c r="Q31" s="229" t="n"/>
    </row>
    <row r="32" ht="14.95" customHeight="1" thickBot="1">
      <c r="A32" s="219" t="inlineStr">
        <is>
          <t>TN 29</t>
        </is>
      </c>
      <c r="B32" s="253" t="n">
        <v>804</v>
      </c>
      <c r="C32" s="254" t="n">
        <v>346</v>
      </c>
      <c r="D32" s="254" t="n">
        <v>645</v>
      </c>
      <c r="E32" s="254" t="n">
        <v>563</v>
      </c>
      <c r="F32" s="254" t="n"/>
      <c r="G32" s="257" t="n">
        <v>2358</v>
      </c>
      <c r="H32" s="239">
        <f>R6</f>
        <v/>
      </c>
      <c r="Q32" s="229" t="n"/>
    </row>
    <row r="33" ht="14.95" customHeight="1" thickBot="1">
      <c r="A33" s="219" t="inlineStr">
        <is>
          <t>TN 31</t>
        </is>
      </c>
      <c r="B33" s="253" t="n">
        <v>343</v>
      </c>
      <c r="C33" s="254" t="n">
        <v>540</v>
      </c>
      <c r="D33" s="254" t="n">
        <v>386</v>
      </c>
      <c r="E33" s="254" t="n"/>
      <c r="F33" s="254" t="n">
        <v>751</v>
      </c>
      <c r="G33" s="257" t="n">
        <v>2020</v>
      </c>
      <c r="H33" s="239">
        <f>R7</f>
        <v/>
      </c>
      <c r="Q33" s="229" t="n"/>
    </row>
    <row r="34" ht="14.95" customHeight="1" thickBot="1">
      <c r="A34" s="219" t="inlineStr">
        <is>
          <t>TN 72</t>
        </is>
      </c>
      <c r="B34" s="253" t="n">
        <v>868</v>
      </c>
      <c r="C34" s="254" t="n">
        <v>744</v>
      </c>
      <c r="D34" s="254" t="n">
        <v>873</v>
      </c>
      <c r="E34" s="254" t="n">
        <v>697</v>
      </c>
      <c r="F34" s="254" t="n">
        <v>690</v>
      </c>
      <c r="G34" s="257" t="n">
        <v>3872</v>
      </c>
      <c r="H34" s="239">
        <f>R8</f>
        <v/>
      </c>
      <c r="Q34" s="229" t="n"/>
    </row>
    <row r="35" ht="14.95" customHeight="1" thickBot="1">
      <c r="A35" s="219" t="inlineStr">
        <is>
          <t>TN 73</t>
        </is>
      </c>
      <c r="B35" s="253" t="n">
        <v>139</v>
      </c>
      <c r="C35" s="254" t="n">
        <v>374</v>
      </c>
      <c r="D35" s="254" t="n">
        <v>872</v>
      </c>
      <c r="E35" s="254" t="n">
        <v>852</v>
      </c>
      <c r="F35" s="254" t="n">
        <v>588</v>
      </c>
      <c r="G35" s="257" t="n">
        <v>2825</v>
      </c>
      <c r="H35" s="239">
        <f>R9</f>
        <v/>
      </c>
      <c r="Q35" s="229" t="n"/>
    </row>
    <row r="36" ht="14.95" customHeight="1" thickBot="1">
      <c r="A36" s="219" t="inlineStr">
        <is>
          <t>TN 74</t>
        </is>
      </c>
      <c r="B36" s="253" t="n">
        <v>734</v>
      </c>
      <c r="C36" s="254" t="n">
        <v>745</v>
      </c>
      <c r="D36" s="254" t="n">
        <v>711</v>
      </c>
      <c r="E36" s="254" t="n">
        <v>814</v>
      </c>
      <c r="F36" s="254" t="n">
        <v>766</v>
      </c>
      <c r="G36" s="257" t="n">
        <v>3770</v>
      </c>
      <c r="H36" s="239">
        <f>R10</f>
        <v/>
      </c>
      <c r="Q36" s="229" t="n"/>
    </row>
    <row r="37" ht="14.95" customHeight="1" thickBot="1">
      <c r="A37" s="220" t="inlineStr">
        <is>
          <t>TN 76</t>
        </is>
      </c>
      <c r="B37" s="253" t="n">
        <v>487</v>
      </c>
      <c r="C37" s="254" t="n">
        <v>662</v>
      </c>
      <c r="D37" s="254" t="n">
        <v>342</v>
      </c>
      <c r="E37" s="254" t="n">
        <v>476</v>
      </c>
      <c r="F37" s="254" t="n">
        <v>385</v>
      </c>
      <c r="G37" s="257" t="n">
        <v>2352</v>
      </c>
      <c r="H37" s="239">
        <f>R11</f>
        <v/>
      </c>
      <c r="Q37" s="229" t="n"/>
    </row>
    <row r="38" ht="14.95" customHeight="1" thickBot="1">
      <c r="A38" s="221" t="inlineStr">
        <is>
          <t>TN78</t>
        </is>
      </c>
      <c r="B38" s="253" t="n">
        <v>954</v>
      </c>
      <c r="C38" s="254" t="n">
        <v>970</v>
      </c>
      <c r="D38" s="254" t="n">
        <v>823</v>
      </c>
      <c r="E38" s="254" t="n">
        <v>1021</v>
      </c>
      <c r="F38" s="254" t="n">
        <v>876</v>
      </c>
      <c r="G38" s="257" t="n">
        <v>4644</v>
      </c>
      <c r="H38" s="239">
        <f>R12</f>
        <v/>
      </c>
      <c r="Q38" s="229" t="n"/>
    </row>
  </sheetData>
  <autoFilter ref="A2:R2">
    <sortState ref="A3:R12">
      <sortCondition ref="C2"/>
    </sortState>
  </autoFilter>
  <mergeCells count="1">
    <mergeCell ref="A27:E27"/>
  </mergeCells>
  <conditionalFormatting sqref="B29:B38 C30:E30 E31:E38 F30:G38">
    <cfRule type="cellIs" priority="19" operator="between" dxfId="8">
      <formula>1</formula>
      <formula>299</formula>
    </cfRule>
    <cfRule type="cellIs" priority="17" operator="greaterThan" dxfId="1">
      <formula>500</formula>
    </cfRule>
    <cfRule type="cellIs" priority="18" operator="between" dxfId="2">
      <formula>300</formula>
      <formula>500</formula>
    </cfRule>
  </conditionalFormatting>
  <conditionalFormatting sqref="B29:E38 F30:F38 G29:G38">
    <cfRule type="cellIs" priority="20" operator="equal">
      <formula>0</formula>
    </cfRule>
  </conditionalFormatting>
  <conditionalFormatting sqref="C29:E38 F30:F38 G29:G38">
    <cfRule type="cellIs" priority="13" operator="between" dxfId="8">
      <formula>1</formula>
      <formula>600</formula>
    </cfRule>
    <cfRule type="cellIs" priority="14" operator="between" dxfId="2">
      <formula>600</formula>
      <formula>1000</formula>
    </cfRule>
    <cfRule type="cellIs" priority="15" operator="greaterThan" dxfId="1">
      <formula>1000</formula>
    </cfRule>
  </conditionalFormatting>
  <conditionalFormatting sqref="D29:E38 F30:F38 G29:G38">
    <cfRule type="cellIs" priority="10" operator="greaterThan" dxfId="1">
      <formula>1501</formula>
    </cfRule>
    <cfRule type="cellIs" priority="11" operator="between" dxfId="8">
      <formula>1</formula>
      <formula>900</formula>
    </cfRule>
    <cfRule type="cellIs" priority="12" operator="between" dxfId="2">
      <formula>900</formula>
      <formula>1500</formula>
    </cfRule>
  </conditionalFormatting>
  <conditionalFormatting sqref="E29:E38 F30:F38">
    <cfRule type="cellIs" priority="9" operator="greaterThan" dxfId="1">
      <formula>2000</formula>
    </cfRule>
  </conditionalFormatting>
  <conditionalFormatting sqref="E29:E38 F30:F38 G29:G38">
    <cfRule type="cellIs" priority="7" operator="between" dxfId="2">
      <formula>1201</formula>
      <formula>2000</formula>
    </cfRule>
    <cfRule type="cellIs" priority="8" operator="between" dxfId="1">
      <formula>1</formula>
      <formula>1200</formula>
    </cfRule>
  </conditionalFormatting>
  <conditionalFormatting sqref="G29:G38">
    <cfRule type="cellIs" priority="1" operator="between" dxfId="2">
      <formula>1500</formula>
      <formula>2000</formula>
    </cfRule>
    <cfRule type="cellIs" priority="2" operator="between" dxfId="2">
      <formula>1200</formula>
      <formula>2000</formula>
    </cfRule>
    <cfRule type="cellIs" priority="3" operator="greaterThan" dxfId="1">
      <formula>2000</formula>
    </cfRule>
  </conditionalFormatting>
  <conditionalFormatting sqref="H29:H38">
    <cfRule type="cellIs" priority="4" operator="lessThan" dxfId="0">
      <formula>$H$28</formula>
    </cfRule>
  </conditionalFormatting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R38"/>
  <sheetViews>
    <sheetView view="pageBreakPreview" zoomScale="90" zoomScaleNormal="90" zoomScaleSheetLayoutView="90" workbookViewId="0">
      <selection activeCell="A1" sqref="A1:R39"/>
    </sheetView>
  </sheetViews>
  <sheetFormatPr baseColWidth="8" defaultColWidth="9.125" defaultRowHeight="14.3"/>
  <cols>
    <col width="16.125" customWidth="1" min="1" max="1"/>
    <col width="15.625" customWidth="1" min="2" max="5"/>
    <col width="11.125" customWidth="1" min="6" max="6"/>
    <col width="12.875" customWidth="1" min="7" max="7"/>
    <col width="19.5" bestFit="1" customWidth="1" min="8" max="8"/>
    <col width="13.625" bestFit="1" customWidth="1" min="9" max="9"/>
    <col width="11.125" bestFit="1" customWidth="1" min="10" max="10"/>
    <col width="11.125" customWidth="1" min="11" max="13"/>
    <col width="16.375" bestFit="1" customWidth="1" min="14" max="14"/>
    <col hidden="1" width="16.375" customWidth="1" min="15" max="15"/>
    <col width="19.875" bestFit="1" customWidth="1" style="229" min="16" max="16"/>
    <col width="26.875" bestFit="1" customWidth="1" min="17" max="17"/>
    <col width="18.375" bestFit="1" customWidth="1" min="18" max="18"/>
  </cols>
  <sheetData>
    <row r="1">
      <c r="A1" s="169" t="inlineStr">
        <is>
          <t xml:space="preserve">Veículos Cadastrados </t>
        </is>
      </c>
      <c r="B1" s="170" t="n"/>
      <c r="C1" s="170" t="n"/>
      <c r="D1" s="170" t="n"/>
      <c r="E1" s="170" t="n"/>
      <c r="F1" s="170" t="n"/>
      <c r="G1" s="170" t="n"/>
      <c r="H1" s="170" t="n"/>
      <c r="I1" s="170" t="n"/>
      <c r="J1" s="170" t="n"/>
      <c r="K1" s="170" t="n"/>
      <c r="L1" s="170" t="n"/>
      <c r="M1" s="170" t="n"/>
      <c r="N1" s="170" t="n"/>
      <c r="O1" s="170" t="n"/>
      <c r="P1" s="228" t="n"/>
      <c r="Q1" s="171" t="n"/>
      <c r="R1" s="172" t="n"/>
    </row>
    <row r="2">
      <c r="A2" s="193" t="inlineStr">
        <is>
          <t>Tipo</t>
        </is>
      </c>
      <c r="B2" s="193" t="inlineStr">
        <is>
          <t xml:space="preserve">Modelos </t>
        </is>
      </c>
      <c r="C2" s="193" t="inlineStr">
        <is>
          <t>Tag</t>
        </is>
      </c>
      <c r="D2" s="193" t="inlineStr">
        <is>
          <t>Locadora</t>
        </is>
      </c>
      <c r="E2" s="193" t="inlineStr">
        <is>
          <t>Localidade</t>
        </is>
      </c>
      <c r="F2" s="193" t="inlineStr">
        <is>
          <t>Placa</t>
        </is>
      </c>
      <c r="G2" s="193" t="inlineStr">
        <is>
          <t>SSO</t>
        </is>
      </c>
      <c r="H2" s="193" t="inlineStr">
        <is>
          <t>Condutores</t>
        </is>
      </c>
      <c r="I2" s="193" t="inlineStr">
        <is>
          <t>SEMANA S1</t>
        </is>
      </c>
      <c r="J2" s="193" t="inlineStr">
        <is>
          <t>KM INICIAL</t>
        </is>
      </c>
      <c r="K2" s="216" t="inlineStr">
        <is>
          <t>S1</t>
        </is>
      </c>
      <c r="L2" s="216" t="inlineStr">
        <is>
          <t>S2</t>
        </is>
      </c>
      <c r="M2" s="216" t="inlineStr">
        <is>
          <t>S3</t>
        </is>
      </c>
      <c r="N2" s="216" t="inlineStr">
        <is>
          <t>S4</t>
        </is>
      </c>
      <c r="O2" s="216" t="inlineStr">
        <is>
          <t>S5</t>
        </is>
      </c>
      <c r="P2" s="236" t="inlineStr">
        <is>
          <t>ULTIMA LAVAGEM</t>
        </is>
      </c>
      <c r="Q2" s="216" t="inlineStr">
        <is>
          <t>STATUS DA LAVAGEM</t>
        </is>
      </c>
      <c r="R2" s="216" t="inlineStr">
        <is>
          <t>PROX. LAVAGEM</t>
        </is>
      </c>
    </row>
    <row r="3">
      <c r="A3" s="198" t="inlineStr">
        <is>
          <t>Leve</t>
        </is>
      </c>
      <c r="B3" s="198" t="inlineStr">
        <is>
          <t>Tracker</t>
        </is>
      </c>
      <c r="C3" s="238" t="inlineStr">
        <is>
          <t>TN 01</t>
        </is>
      </c>
      <c r="D3" s="198" t="inlineStr">
        <is>
          <t>Localiza</t>
        </is>
      </c>
      <c r="E3" s="198" t="inlineStr">
        <is>
          <t>CKS</t>
        </is>
      </c>
      <c r="F3" s="198" t="inlineStr">
        <is>
          <t>FQQ8B72</t>
        </is>
      </c>
      <c r="G3" s="198" t="inlineStr">
        <is>
          <t>CARAJÁS</t>
        </is>
      </c>
      <c r="H3" s="249" t="n"/>
      <c r="I3" s="244" t="n">
        <v>45968</v>
      </c>
      <c r="J3" s="237" t="n">
        <v>84</v>
      </c>
      <c r="K3" s="237" t="n">
        <v>84</v>
      </c>
      <c r="L3" s="237" t="n"/>
      <c r="M3" s="207" t="n"/>
      <c r="N3" s="207" t="n"/>
      <c r="O3" s="207" t="n"/>
      <c r="P3" s="242" t="n">
        <v>45603</v>
      </c>
      <c r="Q3" s="233" t="inlineStr">
        <is>
          <t xml:space="preserve">PENDENTE </t>
        </is>
      </c>
      <c r="R3" s="240" t="n"/>
    </row>
    <row r="4">
      <c r="A4" s="198" t="inlineStr">
        <is>
          <t>Caminhonete</t>
        </is>
      </c>
      <c r="B4" s="198" t="inlineStr">
        <is>
          <t>Hillux</t>
        </is>
      </c>
      <c r="C4" s="238" t="inlineStr">
        <is>
          <t>TN 03</t>
        </is>
      </c>
      <c r="D4" s="198" t="inlineStr">
        <is>
          <t>SINAL</t>
        </is>
      </c>
      <c r="E4" s="198" t="inlineStr">
        <is>
          <t>CKS</t>
        </is>
      </c>
      <c r="F4" s="198" t="inlineStr">
        <is>
          <t>TCD7H75</t>
        </is>
      </c>
      <c r="G4" s="197" t="inlineStr">
        <is>
          <t>CARAJÁS</t>
        </is>
      </c>
      <c r="H4" s="249" t="n"/>
      <c r="I4" s="244" t="n">
        <v>45968</v>
      </c>
      <c r="J4" s="201" t="n">
        <v>25589</v>
      </c>
      <c r="K4" s="237" t="n">
        <v>26692</v>
      </c>
      <c r="L4" s="207" t="n"/>
      <c r="M4" s="207" t="n">
        <v>28272</v>
      </c>
      <c r="N4" s="207" t="n">
        <v>28637</v>
      </c>
      <c r="O4" s="207" t="n"/>
      <c r="P4" s="242" t="n">
        <v>45981</v>
      </c>
      <c r="Q4" s="233" t="inlineStr">
        <is>
          <t xml:space="preserve">PENDENTE </t>
        </is>
      </c>
      <c r="R4" s="241" t="n">
        <v>45988</v>
      </c>
    </row>
    <row r="5">
      <c r="A5" s="198" t="inlineStr">
        <is>
          <t>Caminhonete</t>
        </is>
      </c>
      <c r="B5" s="198" t="inlineStr">
        <is>
          <t>HILLUX</t>
        </is>
      </c>
      <c r="C5" s="235" t="inlineStr">
        <is>
          <t>TN 04</t>
        </is>
      </c>
      <c r="D5" s="198" t="inlineStr">
        <is>
          <t>SINAL</t>
        </is>
      </c>
      <c r="E5" s="198" t="inlineStr">
        <is>
          <t>CKS</t>
        </is>
      </c>
      <c r="F5" s="198" t="inlineStr">
        <is>
          <t>TDM2E37</t>
        </is>
      </c>
      <c r="G5" s="198" t="inlineStr">
        <is>
          <t>CARAJÁS</t>
        </is>
      </c>
      <c r="H5" s="249" t="n"/>
      <c r="I5" s="244" t="n">
        <v>45968</v>
      </c>
      <c r="J5" s="201" t="n"/>
      <c r="K5" s="207" t="n">
        <v>19620</v>
      </c>
      <c r="L5" s="207" t="n">
        <v>20299</v>
      </c>
      <c r="M5" s="207" t="n">
        <v>20708</v>
      </c>
      <c r="N5" s="207" t="n">
        <v>21725</v>
      </c>
      <c r="O5" s="207" t="n"/>
      <c r="P5" s="242" t="n">
        <v>45975</v>
      </c>
      <c r="Q5" s="233" t="inlineStr">
        <is>
          <t xml:space="preserve">PENDENTE </t>
        </is>
      </c>
      <c r="R5" s="258" t="n">
        <v>45991</v>
      </c>
    </row>
    <row r="6">
      <c r="A6" s="197" t="inlineStr">
        <is>
          <t>Caminhonete</t>
        </is>
      </c>
      <c r="B6" s="197" t="inlineStr">
        <is>
          <t>CHEVROLET S10</t>
        </is>
      </c>
      <c r="C6" s="238" t="inlineStr">
        <is>
          <t>TN 29</t>
        </is>
      </c>
      <c r="D6" s="197" t="inlineStr">
        <is>
          <t>SONDA</t>
        </is>
      </c>
      <c r="E6" s="197" t="inlineStr">
        <is>
          <t>CKS</t>
        </is>
      </c>
      <c r="F6" s="197" t="inlineStr">
        <is>
          <t>FXR0F35</t>
        </is>
      </c>
      <c r="G6" s="197" t="inlineStr">
        <is>
          <t>CARAJÁS</t>
        </is>
      </c>
      <c r="H6" s="245" t="inlineStr">
        <is>
          <t>RAIMUNDO CHARLES</t>
        </is>
      </c>
      <c r="I6" s="244" t="n">
        <v>45968</v>
      </c>
      <c r="J6" s="201" t="n"/>
      <c r="K6" s="207" t="n">
        <v>174247</v>
      </c>
      <c r="L6" s="207" t="n">
        <v>174922</v>
      </c>
      <c r="M6" s="207" t="n"/>
      <c r="N6" s="207" t="n">
        <v>176451</v>
      </c>
      <c r="O6" s="207" t="n"/>
      <c r="P6" s="242" t="n">
        <v>45945</v>
      </c>
      <c r="Q6" s="233" t="inlineStr">
        <is>
          <t xml:space="preserve">PENDENTE </t>
        </is>
      </c>
      <c r="R6" s="241" t="n">
        <v>45991</v>
      </c>
    </row>
    <row r="7">
      <c r="A7" s="198" t="inlineStr">
        <is>
          <t>Caminhonete</t>
        </is>
      </c>
      <c r="B7" s="198" t="inlineStr">
        <is>
          <t>Hillux</t>
        </is>
      </c>
      <c r="C7" s="238" t="inlineStr">
        <is>
          <t>TN 31</t>
        </is>
      </c>
      <c r="D7" s="198" t="inlineStr">
        <is>
          <t>SINAL</t>
        </is>
      </c>
      <c r="E7" s="198" t="inlineStr">
        <is>
          <t>CKS</t>
        </is>
      </c>
      <c r="F7" s="198" t="inlineStr">
        <is>
          <t>TCD7I68</t>
        </is>
      </c>
      <c r="G7" s="197" t="inlineStr">
        <is>
          <t>CARAJÁS</t>
        </is>
      </c>
      <c r="H7" s="245" t="inlineStr">
        <is>
          <t>WILLIAM</t>
        </is>
      </c>
      <c r="I7" s="244" t="n">
        <v>45968</v>
      </c>
      <c r="J7" s="205" t="n">
        <v>25610</v>
      </c>
      <c r="K7" s="207" t="n">
        <v>25954</v>
      </c>
      <c r="L7" s="237" t="n">
        <v>26315</v>
      </c>
      <c r="M7" s="207" t="n">
        <v>26797</v>
      </c>
      <c r="N7" s="207" t="n">
        <v>27389</v>
      </c>
      <c r="O7" s="207" t="n"/>
      <c r="P7" s="242" t="n">
        <v>45974</v>
      </c>
      <c r="Q7" s="233" t="inlineStr">
        <is>
          <t xml:space="preserve">PENDENTE </t>
        </is>
      </c>
      <c r="R7" s="241" t="n">
        <v>45993</v>
      </c>
    </row>
    <row r="8">
      <c r="A8" s="198" t="inlineStr">
        <is>
          <t>Caminhonete</t>
        </is>
      </c>
      <c r="B8" s="198" t="inlineStr">
        <is>
          <t xml:space="preserve">FORD RANGER </t>
        </is>
      </c>
      <c r="C8" s="198" t="inlineStr">
        <is>
          <t>TN 72</t>
        </is>
      </c>
      <c r="D8" s="198" t="inlineStr">
        <is>
          <t>SINAL</t>
        </is>
      </c>
      <c r="E8" s="198" t="inlineStr">
        <is>
          <t>CKS</t>
        </is>
      </c>
      <c r="F8" s="198" t="inlineStr">
        <is>
          <t>FXD9A18</t>
        </is>
      </c>
      <c r="G8" s="197" t="inlineStr">
        <is>
          <t>CARAJÁS</t>
        </is>
      </c>
      <c r="H8" s="245" t="inlineStr">
        <is>
          <t>JOÃO PAULO</t>
        </is>
      </c>
      <c r="I8" s="244" t="n">
        <v>45968</v>
      </c>
      <c r="J8" s="207" t="n">
        <v>109814</v>
      </c>
      <c r="K8" s="207" t="n">
        <v>110603</v>
      </c>
      <c r="L8" s="207" t="n">
        <v>111478</v>
      </c>
      <c r="M8" s="207" t="n">
        <v>112135</v>
      </c>
      <c r="N8" s="207" t="n">
        <v>113217</v>
      </c>
      <c r="O8" s="207" t="n"/>
      <c r="P8" s="240" t="n">
        <v>45976</v>
      </c>
      <c r="Q8" s="233" t="inlineStr">
        <is>
          <t xml:space="preserve">PENDENTE </t>
        </is>
      </c>
      <c r="R8" s="240" t="n">
        <v>45992</v>
      </c>
    </row>
    <row r="9">
      <c r="A9" s="197" t="inlineStr">
        <is>
          <t>Caminhonete</t>
        </is>
      </c>
      <c r="B9" s="197" t="inlineStr">
        <is>
          <t>Hillux</t>
        </is>
      </c>
      <c r="C9" s="238" t="inlineStr">
        <is>
          <t>TN 73</t>
        </is>
      </c>
      <c r="D9" s="197" t="inlineStr">
        <is>
          <t>SINAL</t>
        </is>
      </c>
      <c r="E9" s="197" t="inlineStr">
        <is>
          <t>CKS</t>
        </is>
      </c>
      <c r="F9" s="197" t="inlineStr">
        <is>
          <t>TCD7H73</t>
        </is>
      </c>
      <c r="G9" s="197" t="inlineStr">
        <is>
          <t>CARAJÁS</t>
        </is>
      </c>
      <c r="H9" s="248" t="inlineStr">
        <is>
          <t>GABRIEL OLIVEIRA</t>
        </is>
      </c>
      <c r="I9" s="244" t="n">
        <v>45968</v>
      </c>
      <c r="J9" s="207" t="n">
        <v>12954</v>
      </c>
      <c r="K9" s="207" t="n">
        <v>13428</v>
      </c>
      <c r="L9" s="237" t="n">
        <v>13877</v>
      </c>
      <c r="M9" s="207" t="n"/>
      <c r="N9" s="207" t="n"/>
      <c r="O9" s="207" t="n"/>
      <c r="P9" s="243" t="n">
        <v>45961</v>
      </c>
      <c r="Q9" s="233" t="inlineStr">
        <is>
          <t xml:space="preserve">PENDENTE </t>
        </is>
      </c>
      <c r="R9" s="240" t="n">
        <v>45966</v>
      </c>
    </row>
    <row r="10">
      <c r="A10" s="198" t="inlineStr">
        <is>
          <t>Caminhonete</t>
        </is>
      </c>
      <c r="B10" s="198" t="inlineStr">
        <is>
          <t>Ranger</t>
        </is>
      </c>
      <c r="C10" s="198" t="inlineStr">
        <is>
          <t>TN 74</t>
        </is>
      </c>
      <c r="D10" s="198" t="inlineStr">
        <is>
          <t>SINAL</t>
        </is>
      </c>
      <c r="E10" s="198" t="inlineStr">
        <is>
          <t>CKS</t>
        </is>
      </c>
      <c r="F10" s="198" t="inlineStr">
        <is>
          <t>TDM2E33</t>
        </is>
      </c>
      <c r="G10" s="198" t="inlineStr">
        <is>
          <t>CARAJÁS</t>
        </is>
      </c>
      <c r="H10" s="249" t="n"/>
      <c r="I10" s="244" t="n">
        <v>45968</v>
      </c>
      <c r="J10" s="207" t="n">
        <v>19333</v>
      </c>
      <c r="K10" s="234" t="n">
        <v>19920</v>
      </c>
      <c r="L10" s="207" t="n">
        <v>20819</v>
      </c>
      <c r="M10" s="207" t="n"/>
      <c r="N10" s="207" t="n">
        <v>21952</v>
      </c>
      <c r="O10" s="207" t="n"/>
      <c r="P10" s="242" t="n">
        <v>45957</v>
      </c>
      <c r="Q10" s="233" t="inlineStr">
        <is>
          <t xml:space="preserve">PENDENTE </t>
        </is>
      </c>
      <c r="R10" s="240" t="n">
        <v>45997</v>
      </c>
    </row>
    <row r="11">
      <c r="A11" s="209" t="inlineStr">
        <is>
          <t>Caminhonete</t>
        </is>
      </c>
      <c r="B11" s="209" t="inlineStr">
        <is>
          <t>NISSAN FRONTIER</t>
        </is>
      </c>
      <c r="C11" s="209" t="inlineStr">
        <is>
          <t>TN 76</t>
        </is>
      </c>
      <c r="D11" s="209" t="inlineStr">
        <is>
          <t>SINAL</t>
        </is>
      </c>
      <c r="E11" s="209" t="inlineStr">
        <is>
          <t>CKS</t>
        </is>
      </c>
      <c r="F11" s="209" t="inlineStr">
        <is>
          <t>TCD7H72</t>
        </is>
      </c>
      <c r="G11" s="209" t="inlineStr">
        <is>
          <t>CARAJÁS</t>
        </is>
      </c>
      <c r="H11" s="246" t="inlineStr">
        <is>
          <t>ROSIVALDO CORREA</t>
        </is>
      </c>
      <c r="I11" s="244" t="n">
        <v>45968</v>
      </c>
      <c r="J11" s="207" t="n">
        <v>20577</v>
      </c>
      <c r="K11" s="207" t="n">
        <v>21367</v>
      </c>
      <c r="L11" s="207" t="n">
        <v>21827</v>
      </c>
      <c r="M11" s="207" t="n"/>
      <c r="N11" s="207" t="n">
        <v>23132</v>
      </c>
      <c r="O11" s="207" t="n"/>
      <c r="P11" s="242" t="n">
        <v>45945</v>
      </c>
      <c r="Q11" s="233" t="inlineStr">
        <is>
          <t xml:space="preserve">PENDENTE </t>
        </is>
      </c>
      <c r="R11" s="240" t="n">
        <v>45991</v>
      </c>
    </row>
    <row r="12">
      <c r="A12" s="202" t="inlineStr">
        <is>
          <t>Caminhonete</t>
        </is>
      </c>
      <c r="B12" s="204" t="inlineStr">
        <is>
          <t>NISSAN FRONTIER</t>
        </is>
      </c>
      <c r="C12" s="204" t="inlineStr">
        <is>
          <t>TN78</t>
        </is>
      </c>
      <c r="D12" s="202" t="inlineStr">
        <is>
          <t>SONDA</t>
        </is>
      </c>
      <c r="E12" s="202" t="inlineStr">
        <is>
          <t>CKS</t>
        </is>
      </c>
      <c r="F12" s="202" t="inlineStr">
        <is>
          <t xml:space="preserve">FZY4F28 </t>
        </is>
      </c>
      <c r="G12" s="202" t="inlineStr">
        <is>
          <t>CARAJÁS</t>
        </is>
      </c>
      <c r="H12" s="247" t="inlineStr">
        <is>
          <t>RENATO RAMALHO</t>
        </is>
      </c>
      <c r="I12" s="244" t="n">
        <v>45968</v>
      </c>
      <c r="J12" s="207" t="n">
        <v>111391</v>
      </c>
      <c r="K12" s="207" t="n">
        <v>112350</v>
      </c>
      <c r="L12" s="207" t="n">
        <v>113310</v>
      </c>
      <c r="M12" s="207" t="n"/>
      <c r="N12" s="207" t="n">
        <v>0</v>
      </c>
      <c r="O12" s="207" t="n"/>
      <c r="P12" s="240" t="n">
        <v>45965</v>
      </c>
      <c r="Q12" s="233" t="inlineStr">
        <is>
          <t xml:space="preserve">PENDENTE </t>
        </is>
      </c>
      <c r="R12" s="240" t="n">
        <v>45996</v>
      </c>
    </row>
    <row r="13"/>
    <row r="14">
      <c r="A14" s="169" t="inlineStr">
        <is>
          <t xml:space="preserve">Veículos Cadastrados </t>
        </is>
      </c>
      <c r="B14" s="170" t="n"/>
      <c r="C14" s="170" t="n"/>
      <c r="D14" s="170" t="n"/>
      <c r="E14" s="170" t="n"/>
      <c r="F14" s="255" t="n"/>
      <c r="G14" s="170" t="n"/>
      <c r="H14" s="170" t="n"/>
      <c r="I14" s="170" t="n"/>
      <c r="J14" s="170" t="n"/>
      <c r="K14" s="170" t="n"/>
      <c r="L14" s="170" t="n"/>
      <c r="M14" s="170" t="n"/>
      <c r="N14" s="170" t="n"/>
      <c r="O14" s="170" t="n"/>
      <c r="P14" s="228" t="n"/>
      <c r="Q14" s="171" t="n"/>
      <c r="R14" s="172" t="n"/>
    </row>
    <row r="15" hidden="1">
      <c r="A15" s="193" t="inlineStr">
        <is>
          <t>Tipo</t>
        </is>
      </c>
      <c r="B15" s="193" t="inlineStr">
        <is>
          <t xml:space="preserve">Modelos </t>
        </is>
      </c>
      <c r="C15" s="193" t="inlineStr">
        <is>
          <t>Tag</t>
        </is>
      </c>
      <c r="D15" s="193" t="inlineStr">
        <is>
          <t>Locadora</t>
        </is>
      </c>
      <c r="E15" s="193" t="inlineStr">
        <is>
          <t>Localidade</t>
        </is>
      </c>
      <c r="F15" s="193" t="inlineStr">
        <is>
          <t>Placa</t>
        </is>
      </c>
      <c r="G15" s="193" t="inlineStr">
        <is>
          <t>SSO</t>
        </is>
      </c>
      <c r="H15" s="193" t="inlineStr">
        <is>
          <t>Condutores</t>
        </is>
      </c>
      <c r="I15" s="193" t="inlineStr">
        <is>
          <t>SEMANA 02</t>
        </is>
      </c>
      <c r="J15" s="193" t="inlineStr">
        <is>
          <t>KM TOTAL</t>
        </is>
      </c>
      <c r="K15" s="216" t="inlineStr">
        <is>
          <t>S1</t>
        </is>
      </c>
      <c r="L15" s="216" t="inlineStr">
        <is>
          <t>S2</t>
        </is>
      </c>
      <c r="M15" s="216" t="inlineStr">
        <is>
          <t>S3</t>
        </is>
      </c>
      <c r="N15" s="216" t="inlineStr">
        <is>
          <t>S4</t>
        </is>
      </c>
      <c r="O15" s="216" t="n"/>
      <c r="P15" s="230" t="inlineStr">
        <is>
          <t>ULTIMA LAVAGEM</t>
        </is>
      </c>
      <c r="Q15" s="231" t="inlineStr">
        <is>
          <t xml:space="preserve">LAVAGEM PROGRAMADA </t>
        </is>
      </c>
      <c r="R15" s="232" t="inlineStr">
        <is>
          <t>PROX. LAVAGEM</t>
        </is>
      </c>
    </row>
    <row r="16" hidden="1">
      <c r="A16" s="198" t="inlineStr">
        <is>
          <t>Leve</t>
        </is>
      </c>
      <c r="B16" s="198" t="inlineStr">
        <is>
          <t>Tracker</t>
        </is>
      </c>
      <c r="C16" s="198" t="inlineStr">
        <is>
          <t>TN 01</t>
        </is>
      </c>
      <c r="D16" s="198" t="inlineStr">
        <is>
          <t>Localiza</t>
        </is>
      </c>
      <c r="E16" s="198" t="inlineStr">
        <is>
          <t>CKS</t>
        </is>
      </c>
      <c r="F16" s="198" t="inlineStr">
        <is>
          <t>TCO2C15</t>
        </is>
      </c>
      <c r="G16" s="198" t="inlineStr">
        <is>
          <t>CARAJÁS</t>
        </is>
      </c>
      <c r="H16" s="200" t="inlineStr">
        <is>
          <t>Fabricio Maia</t>
        </is>
      </c>
      <c r="I16" s="161" t="n">
        <v>45912</v>
      </c>
      <c r="J16" s="201">
        <f>SUM(K16:N16)</f>
        <v/>
      </c>
      <c r="K16" s="207">
        <f>K3-$J3</f>
        <v/>
      </c>
      <c r="L16" s="207">
        <f>L3-$J3</f>
        <v/>
      </c>
      <c r="M16" s="207">
        <f>M3-$J3</f>
        <v/>
      </c>
      <c r="N16" s="207">
        <f>N3-$J3</f>
        <v/>
      </c>
      <c r="O16" s="207" t="n"/>
      <c r="P16" s="141" t="n">
        <v>45891</v>
      </c>
      <c r="Q16" s="218" t="n"/>
      <c r="R16" s="98" t="n"/>
    </row>
    <row r="17" hidden="1">
      <c r="A17" s="198" t="inlineStr">
        <is>
          <t>Caminhonete</t>
        </is>
      </c>
      <c r="B17" s="198" t="inlineStr">
        <is>
          <t>Hillux</t>
        </is>
      </c>
      <c r="C17" s="198" t="inlineStr">
        <is>
          <t>TN 03</t>
        </is>
      </c>
      <c r="D17" s="198" t="inlineStr">
        <is>
          <t>SINAL</t>
        </is>
      </c>
      <c r="E17" s="198" t="inlineStr">
        <is>
          <t>CKS</t>
        </is>
      </c>
      <c r="F17" s="198" t="inlineStr">
        <is>
          <t>TCD7H75</t>
        </is>
      </c>
      <c r="G17" s="197" t="inlineStr">
        <is>
          <t>CARAJÁS</t>
        </is>
      </c>
      <c r="H17" s="199" t="inlineStr">
        <is>
          <t>Lucas</t>
        </is>
      </c>
      <c r="I17" s="161" t="n">
        <v>45912</v>
      </c>
      <c r="J17" s="201">
        <f>SUM(K17:N17)</f>
        <v/>
      </c>
      <c r="K17" s="207">
        <f>K4-$J4</f>
        <v/>
      </c>
      <c r="L17" s="207">
        <f>L4-$J4</f>
        <v/>
      </c>
      <c r="M17" s="207">
        <f>M4-$J4</f>
        <v/>
      </c>
      <c r="N17" s="207">
        <f>N4-$J4</f>
        <v/>
      </c>
      <c r="O17" s="207" t="n"/>
      <c r="P17" s="141" t="n">
        <v>45896</v>
      </c>
      <c r="Q17" s="218" t="inlineStr">
        <is>
          <t>pendente</t>
        </is>
      </c>
      <c r="R17" s="99" t="n">
        <v>45921</v>
      </c>
    </row>
    <row r="18" hidden="1">
      <c r="A18" s="198" t="inlineStr">
        <is>
          <t>Caminhonete</t>
        </is>
      </c>
      <c r="B18" s="198" t="inlineStr">
        <is>
          <t>HILLUX</t>
        </is>
      </c>
      <c r="C18" s="198" t="inlineStr">
        <is>
          <t>TN 04</t>
        </is>
      </c>
      <c r="D18" s="198" t="inlineStr">
        <is>
          <t>SINAL</t>
        </is>
      </c>
      <c r="E18" s="198" t="inlineStr">
        <is>
          <t>CKS</t>
        </is>
      </c>
      <c r="F18" s="198" t="inlineStr">
        <is>
          <t>TDM2E37</t>
        </is>
      </c>
      <c r="G18" s="198" t="inlineStr">
        <is>
          <t>CARAJÁS</t>
        </is>
      </c>
      <c r="H18" s="200" t="inlineStr">
        <is>
          <t>MATHEUS</t>
        </is>
      </c>
      <c r="I18" s="161" t="n">
        <v>45912</v>
      </c>
      <c r="J18" s="201">
        <f>SUM(K18:N18)</f>
        <v/>
      </c>
      <c r="K18" s="207">
        <f>K5-$J5</f>
        <v/>
      </c>
      <c r="L18" s="207">
        <f>L5-$J5</f>
        <v/>
      </c>
      <c r="M18" s="207">
        <f>M5-$J5</f>
        <v/>
      </c>
      <c r="N18" s="207">
        <f>N5-$J5</f>
        <v/>
      </c>
      <c r="O18" s="207" t="n"/>
      <c r="P18" s="141" t="n">
        <v>45908</v>
      </c>
      <c r="Q18" s="182" t="inlineStr">
        <is>
          <t>ok</t>
        </is>
      </c>
      <c r="R18" s="99" t="n">
        <v>45919</v>
      </c>
    </row>
    <row r="19" hidden="1">
      <c r="A19" s="197" t="inlineStr">
        <is>
          <t>Caminhonete</t>
        </is>
      </c>
      <c r="B19" s="197" t="inlineStr">
        <is>
          <t>CHEVROLET S10</t>
        </is>
      </c>
      <c r="C19" s="198" t="inlineStr">
        <is>
          <t>TN 29</t>
        </is>
      </c>
      <c r="D19" s="197" t="inlineStr">
        <is>
          <t>Sonda</t>
        </is>
      </c>
      <c r="E19" s="197" t="inlineStr">
        <is>
          <t>CKS</t>
        </is>
      </c>
      <c r="F19" s="197" t="inlineStr">
        <is>
          <t>FXR0F35</t>
        </is>
      </c>
      <c r="G19" s="197" t="inlineStr">
        <is>
          <t>CARAJÁS</t>
        </is>
      </c>
      <c r="H19" s="199" t="inlineStr">
        <is>
          <t>JOÃO TAVARES</t>
        </is>
      </c>
      <c r="I19" s="161" t="n">
        <v>45912</v>
      </c>
      <c r="J19" s="201">
        <f>SUM(K19:N19)</f>
        <v/>
      </c>
      <c r="K19" s="207">
        <f>K6-$J6</f>
        <v/>
      </c>
      <c r="L19" s="207">
        <f>L6-$J6</f>
        <v/>
      </c>
      <c r="M19" s="207">
        <f>M6-$J6</f>
        <v/>
      </c>
      <c r="N19" s="207">
        <f>N6-$J6</f>
        <v/>
      </c>
      <c r="O19" s="207" t="n"/>
      <c r="P19" s="141" t="n">
        <v>45916</v>
      </c>
      <c r="Q19" s="182" t="inlineStr">
        <is>
          <t>ok</t>
        </is>
      </c>
      <c r="R19" s="99" t="n">
        <v>45924</v>
      </c>
    </row>
    <row r="20" hidden="1">
      <c r="A20" s="198" t="inlineStr">
        <is>
          <t>Caminhonete</t>
        </is>
      </c>
      <c r="B20" s="198" t="inlineStr">
        <is>
          <t>Hillux</t>
        </is>
      </c>
      <c r="C20" s="198" t="inlineStr">
        <is>
          <t>TN 31</t>
        </is>
      </c>
      <c r="D20" s="198" t="inlineStr">
        <is>
          <t>SINAL</t>
        </is>
      </c>
      <c r="E20" s="198" t="inlineStr">
        <is>
          <t>CKS</t>
        </is>
      </c>
      <c r="F20" s="198" t="inlineStr">
        <is>
          <t>TCD7I68</t>
        </is>
      </c>
      <c r="G20" s="197" t="inlineStr">
        <is>
          <t>CARAJÁS</t>
        </is>
      </c>
      <c r="H20" s="199" t="inlineStr">
        <is>
          <t>Lucas</t>
        </is>
      </c>
      <c r="I20" s="161" t="n">
        <v>45912</v>
      </c>
      <c r="J20" s="201">
        <f>SUM(K20:N20)</f>
        <v/>
      </c>
      <c r="K20" s="207">
        <f>K7-$J7</f>
        <v/>
      </c>
      <c r="L20" s="207">
        <f>L7-$J7</f>
        <v/>
      </c>
      <c r="M20" s="207">
        <f>M7-$J7</f>
        <v/>
      </c>
      <c r="N20" s="207">
        <f>N7-$J7</f>
        <v/>
      </c>
      <c r="O20" s="207" t="n"/>
      <c r="P20" s="141" t="n">
        <v>45901</v>
      </c>
      <c r="Q20" s="182" t="inlineStr">
        <is>
          <t>pendente</t>
        </is>
      </c>
      <c r="R20" s="99" t="n">
        <v>45920</v>
      </c>
    </row>
    <row r="21" hidden="1">
      <c r="A21" s="198" t="inlineStr">
        <is>
          <t>Caminhonete</t>
        </is>
      </c>
      <c r="B21" s="198" t="inlineStr">
        <is>
          <t xml:space="preserve">FORD RANGER </t>
        </is>
      </c>
      <c r="C21" s="198" t="inlineStr">
        <is>
          <t>TN 72</t>
        </is>
      </c>
      <c r="D21" s="198" t="inlineStr">
        <is>
          <t>Sonda</t>
        </is>
      </c>
      <c r="E21" s="198" t="inlineStr">
        <is>
          <t>CKS</t>
        </is>
      </c>
      <c r="F21" s="198" t="inlineStr">
        <is>
          <t>FXD9A18</t>
        </is>
      </c>
      <c r="G21" s="197" t="inlineStr">
        <is>
          <t>CARAJÁS</t>
        </is>
      </c>
      <c r="H21" s="199" t="inlineStr">
        <is>
          <t>RAIMUNDO CHARLES</t>
        </is>
      </c>
      <c r="I21" s="161" t="n">
        <v>45912</v>
      </c>
      <c r="J21" s="201">
        <f>SUM(K21:N21)</f>
        <v/>
      </c>
      <c r="K21" s="207">
        <f>K8-$J8</f>
        <v/>
      </c>
      <c r="L21" s="207">
        <f>L8-$J8</f>
        <v/>
      </c>
      <c r="M21" s="207">
        <f>M8-$J8</f>
        <v/>
      </c>
      <c r="N21" s="207">
        <f>N8-$J8</f>
        <v/>
      </c>
      <c r="O21" s="207" t="n"/>
      <c r="P21" s="141" t="n">
        <v>45904</v>
      </c>
      <c r="Q21" s="218" t="inlineStr">
        <is>
          <t>pendente</t>
        </is>
      </c>
      <c r="R21" s="99" t="n">
        <v>45926</v>
      </c>
    </row>
    <row r="22" hidden="1">
      <c r="A22" s="197" t="inlineStr">
        <is>
          <t>Caminhonete</t>
        </is>
      </c>
      <c r="B22" s="197" t="inlineStr">
        <is>
          <t>Hillux</t>
        </is>
      </c>
      <c r="C22" s="198" t="inlineStr">
        <is>
          <t>TN 73</t>
        </is>
      </c>
      <c r="D22" s="197" t="inlineStr">
        <is>
          <t>SINAL</t>
        </is>
      </c>
      <c r="E22" s="197" t="inlineStr">
        <is>
          <t>CKS</t>
        </is>
      </c>
      <c r="F22" s="197" t="inlineStr">
        <is>
          <t>TCD7H73</t>
        </is>
      </c>
      <c r="G22" s="197" t="inlineStr">
        <is>
          <t>CARAJÁS</t>
        </is>
      </c>
      <c r="H22" s="199" t="inlineStr">
        <is>
          <t>William</t>
        </is>
      </c>
      <c r="I22" s="161" t="n">
        <v>45912</v>
      </c>
      <c r="J22" s="201">
        <f>SUM(K22:N22)</f>
        <v/>
      </c>
      <c r="K22" s="207">
        <f>K9-$J9</f>
        <v/>
      </c>
      <c r="L22" s="207">
        <f>L9-$J9</f>
        <v/>
      </c>
      <c r="M22" s="207">
        <f>M9-$J9</f>
        <v/>
      </c>
      <c r="N22" s="207">
        <f>N9-$J9</f>
        <v/>
      </c>
      <c r="O22" s="251" t="n"/>
      <c r="P22" s="59" t="n">
        <v>45905</v>
      </c>
      <c r="Q22" s="184" t="inlineStr">
        <is>
          <t>pendente</t>
        </is>
      </c>
      <c r="R22" s="99" t="n">
        <v>45924</v>
      </c>
    </row>
    <row r="23" hidden="1">
      <c r="A23" s="198" t="inlineStr">
        <is>
          <t>Caminhonete</t>
        </is>
      </c>
      <c r="B23" s="198" t="inlineStr">
        <is>
          <t>Ranger</t>
        </is>
      </c>
      <c r="C23" s="198" t="inlineStr">
        <is>
          <t>TN 74</t>
        </is>
      </c>
      <c r="D23" s="198" t="inlineStr">
        <is>
          <t>SONDA</t>
        </is>
      </c>
      <c r="E23" s="198" t="inlineStr">
        <is>
          <t>CKS</t>
        </is>
      </c>
      <c r="F23" s="198" t="inlineStr">
        <is>
          <t>RDM2E33</t>
        </is>
      </c>
      <c r="G23" s="198" t="inlineStr">
        <is>
          <t>CARAJÁS</t>
        </is>
      </c>
      <c r="H23" s="200" t="inlineStr">
        <is>
          <t>Ederson</t>
        </is>
      </c>
      <c r="I23" s="161" t="n">
        <v>45912</v>
      </c>
      <c r="J23" s="201">
        <f>SUM(K23:N23)</f>
        <v/>
      </c>
      <c r="K23" s="207">
        <f>K10-$J10</f>
        <v/>
      </c>
      <c r="L23" s="207">
        <f>L10-$J10</f>
        <v/>
      </c>
      <c r="M23" s="207">
        <f>M10-$J10</f>
        <v/>
      </c>
      <c r="N23" s="207">
        <f>N10-$J10</f>
        <v/>
      </c>
      <c r="O23" s="207" t="n"/>
      <c r="P23" s="141" t="n">
        <v>45918</v>
      </c>
      <c r="Q23" s="184" t="inlineStr">
        <is>
          <t>ok</t>
        </is>
      </c>
      <c r="R23" s="99" t="n">
        <v>45923</v>
      </c>
    </row>
    <row r="24" hidden="1">
      <c r="A24" s="209" t="inlineStr">
        <is>
          <t>Caminhonete</t>
        </is>
      </c>
      <c r="B24" s="209" t="inlineStr">
        <is>
          <t>NISSAN FRONTIER</t>
        </is>
      </c>
      <c r="C24" s="209" t="inlineStr">
        <is>
          <t>TN 76</t>
        </is>
      </c>
      <c r="D24" s="209" t="inlineStr">
        <is>
          <t>SINAL</t>
        </is>
      </c>
      <c r="E24" s="209" t="inlineStr">
        <is>
          <t>CKS</t>
        </is>
      </c>
      <c r="F24" s="209" t="inlineStr">
        <is>
          <t>TCD7H72</t>
        </is>
      </c>
      <c r="G24" s="209" t="inlineStr">
        <is>
          <t>CARAJÁS</t>
        </is>
      </c>
      <c r="H24" s="217" t="inlineStr">
        <is>
          <t>Renan</t>
        </is>
      </c>
      <c r="I24" s="161" t="n">
        <v>45912</v>
      </c>
      <c r="J24" s="201">
        <f>SUM(K24:N24)</f>
        <v/>
      </c>
      <c r="K24" s="207">
        <f>K11-$J11</f>
        <v/>
      </c>
      <c r="L24" s="207">
        <f>L11-$J11</f>
        <v/>
      </c>
      <c r="M24" s="207">
        <f>M11-$J11</f>
        <v/>
      </c>
      <c r="N24" s="207">
        <f>N11-$J11</f>
        <v/>
      </c>
      <c r="O24" s="207" t="n"/>
      <c r="P24" s="141" t="n">
        <v>45901</v>
      </c>
      <c r="Q24" s="184" t="inlineStr">
        <is>
          <t>pendente</t>
        </is>
      </c>
      <c r="R24" s="99" t="n">
        <v>45922</v>
      </c>
    </row>
    <row r="25" hidden="1">
      <c r="A25" s="202" t="inlineStr">
        <is>
          <t>Caminhonete</t>
        </is>
      </c>
      <c r="B25" s="204" t="inlineStr">
        <is>
          <t>NISSAN FRONTIER</t>
        </is>
      </c>
      <c r="C25" s="204" t="inlineStr">
        <is>
          <t>TN78</t>
        </is>
      </c>
      <c r="D25" s="202" t="inlineStr">
        <is>
          <t>SONDA</t>
        </is>
      </c>
      <c r="E25" s="202" t="inlineStr">
        <is>
          <t>CKS</t>
        </is>
      </c>
      <c r="F25" s="202" t="inlineStr">
        <is>
          <t xml:space="preserve">FZY4F28 </t>
        </is>
      </c>
      <c r="G25" s="202" t="inlineStr">
        <is>
          <t>CARAJÁS</t>
        </is>
      </c>
      <c r="H25" s="202" t="inlineStr">
        <is>
          <t>Ederson</t>
        </is>
      </c>
      <c r="I25" s="161" t="n">
        <v>45912</v>
      </c>
      <c r="J25" s="201">
        <f>SUM(K25:N25)</f>
        <v/>
      </c>
      <c r="K25" s="207">
        <f>K12-$J12</f>
        <v/>
      </c>
      <c r="L25" s="207">
        <f>L12-$J12</f>
        <v/>
      </c>
      <c r="M25" s="207">
        <f>M12-$J12</f>
        <v/>
      </c>
      <c r="N25" s="207">
        <f>N12-$J12</f>
        <v/>
      </c>
      <c r="O25" s="207" t="n"/>
      <c r="P25" s="141" t="n">
        <v>45905</v>
      </c>
      <c r="Q25" s="184" t="inlineStr">
        <is>
          <t>pendente</t>
        </is>
      </c>
      <c r="R25" s="99" t="n">
        <v>45922</v>
      </c>
    </row>
    <row r="26" ht="14.95" customHeight="1" thickBot="1"/>
    <row r="27" ht="28.55" customHeight="1">
      <c r="A27" s="319" t="inlineStr">
        <is>
          <t>ACOMPANHAMENTO KM SEMANA</t>
        </is>
      </c>
      <c r="B27" s="328" t="n"/>
      <c r="C27" s="328" t="n"/>
      <c r="D27" s="328" t="n"/>
      <c r="E27" s="328" t="n"/>
      <c r="F27" s="226" t="n"/>
      <c r="G27" s="250" t="inlineStr">
        <is>
          <t>ULTIMA LAVAGEM</t>
        </is>
      </c>
      <c r="H27" s="259" t="inlineStr">
        <is>
          <t>Proxima Lavagem</t>
        </is>
      </c>
    </row>
    <row r="28" ht="14.95" customHeight="1" thickBot="1">
      <c r="A28" s="227" t="inlineStr">
        <is>
          <t>TAG</t>
        </is>
      </c>
      <c r="B28" s="222" t="inlineStr">
        <is>
          <t>S1</t>
        </is>
      </c>
      <c r="C28" s="222" t="inlineStr">
        <is>
          <t>S2</t>
        </is>
      </c>
      <c r="D28" s="222" t="inlineStr">
        <is>
          <t>S3</t>
        </is>
      </c>
      <c r="E28" s="223" t="inlineStr">
        <is>
          <t>S4</t>
        </is>
      </c>
      <c r="F28" s="223" t="inlineStr">
        <is>
          <t>S5</t>
        </is>
      </c>
      <c r="G28" s="224" t="inlineStr">
        <is>
          <t>ACUM.</t>
        </is>
      </c>
      <c r="H28" s="225" t="n"/>
      <c r="Q28" s="229" t="n"/>
    </row>
    <row r="29" ht="14.95" customHeight="1" thickBot="1">
      <c r="A29" s="252" t="inlineStr">
        <is>
          <t>TN 01</t>
        </is>
      </c>
      <c r="B29" s="253" t="n"/>
      <c r="C29" s="254" t="n"/>
      <c r="D29" s="254" t="n"/>
      <c r="E29" s="254" t="n"/>
      <c r="F29" s="256" t="n"/>
      <c r="G29" s="257" t="n">
        <v>0</v>
      </c>
      <c r="H29" s="239">
        <f>R3</f>
        <v/>
      </c>
      <c r="Q29" s="229" t="n"/>
    </row>
    <row r="30" ht="14.95" customHeight="1" thickBot="1">
      <c r="A30" s="219" t="inlineStr">
        <is>
          <t>TN 03</t>
        </is>
      </c>
      <c r="B30" s="253" t="n">
        <v>1103</v>
      </c>
      <c r="C30" s="254" t="n"/>
      <c r="D30" s="254" t="n">
        <v>1580</v>
      </c>
      <c r="E30" s="254" t="n">
        <v>365</v>
      </c>
      <c r="F30" s="254" t="n"/>
      <c r="G30" s="257" t="n">
        <v>3048</v>
      </c>
      <c r="H30" s="239">
        <f>R4</f>
        <v/>
      </c>
      <c r="Q30" s="229" t="n"/>
    </row>
    <row r="31" ht="14.95" customHeight="1" thickBot="1">
      <c r="A31" s="219" t="inlineStr">
        <is>
          <t>TN 04</t>
        </is>
      </c>
      <c r="B31" s="253" t="n"/>
      <c r="C31" s="254" t="n">
        <v>679</v>
      </c>
      <c r="D31" s="254" t="n">
        <v>409</v>
      </c>
      <c r="E31" s="254" t="n">
        <v>1017</v>
      </c>
      <c r="F31" s="254" t="n"/>
      <c r="G31" s="257" t="n">
        <v>2105</v>
      </c>
      <c r="H31" s="239">
        <f>R5</f>
        <v/>
      </c>
      <c r="Q31" s="229" t="n"/>
    </row>
    <row r="32" ht="14.95" customHeight="1" thickBot="1">
      <c r="A32" s="219" t="inlineStr">
        <is>
          <t>TN 29</t>
        </is>
      </c>
      <c r="B32" s="253" t="n"/>
      <c r="C32" s="254" t="n">
        <v>675</v>
      </c>
      <c r="D32" s="254" t="n"/>
      <c r="E32" s="254" t="n">
        <v>1529</v>
      </c>
      <c r="F32" s="254" t="n"/>
      <c r="G32" s="257" t="n">
        <v>2204</v>
      </c>
      <c r="H32" s="239">
        <f>R6</f>
        <v/>
      </c>
      <c r="Q32" s="229" t="n"/>
    </row>
    <row r="33" ht="14.95" customHeight="1" thickBot="1">
      <c r="A33" s="219" t="inlineStr">
        <is>
          <t>TN 31</t>
        </is>
      </c>
      <c r="B33" s="253" t="n">
        <v>344</v>
      </c>
      <c r="C33" s="254" t="n">
        <v>361</v>
      </c>
      <c r="D33" s="254" t="n">
        <v>482</v>
      </c>
      <c r="E33" s="254" t="n">
        <v>592</v>
      </c>
      <c r="F33" s="254" t="n"/>
      <c r="G33" s="257" t="n">
        <v>1779</v>
      </c>
      <c r="H33" s="239">
        <f>R7</f>
        <v/>
      </c>
      <c r="Q33" s="229" t="n"/>
    </row>
    <row r="34" ht="14.95" customHeight="1" thickBot="1">
      <c r="A34" s="219" t="inlineStr">
        <is>
          <t>TN 72</t>
        </is>
      </c>
      <c r="B34" s="253" t="n">
        <v>789</v>
      </c>
      <c r="C34" s="254" t="n">
        <v>875</v>
      </c>
      <c r="D34" s="254" t="n">
        <v>657</v>
      </c>
      <c r="E34" s="254" t="n">
        <v>1082</v>
      </c>
      <c r="F34" s="254" t="n"/>
      <c r="G34" s="257" t="n">
        <v>3403</v>
      </c>
      <c r="H34" s="239">
        <f>R8</f>
        <v/>
      </c>
      <c r="Q34" s="229" t="n"/>
    </row>
    <row r="35" ht="14.95" customHeight="1" thickBot="1">
      <c r="A35" s="219" t="inlineStr">
        <is>
          <t>TN 73</t>
        </is>
      </c>
      <c r="B35" s="253" t="n">
        <v>474</v>
      </c>
      <c r="C35" s="254" t="n">
        <v>449</v>
      </c>
      <c r="D35" s="254" t="n"/>
      <c r="E35" s="254" t="n"/>
      <c r="F35" s="254" t="n"/>
      <c r="G35" s="257" t="n">
        <v>923</v>
      </c>
      <c r="H35" s="239">
        <f>R9</f>
        <v/>
      </c>
      <c r="Q35" s="229" t="n"/>
    </row>
    <row r="36" ht="14.95" customHeight="1" thickBot="1">
      <c r="A36" s="219" t="inlineStr">
        <is>
          <t>TN 74</t>
        </is>
      </c>
      <c r="B36" s="253" t="n">
        <v>587</v>
      </c>
      <c r="C36" s="254" t="n">
        <v>899</v>
      </c>
      <c r="D36" s="254" t="n"/>
      <c r="E36" s="254" t="n">
        <v>1133</v>
      </c>
      <c r="F36" s="254" t="n"/>
      <c r="G36" s="257" t="n">
        <v>2619</v>
      </c>
      <c r="H36" s="239">
        <f>R10</f>
        <v/>
      </c>
      <c r="Q36" s="229" t="n"/>
    </row>
    <row r="37" ht="14.95" customHeight="1" thickBot="1">
      <c r="A37" s="220" t="inlineStr">
        <is>
          <t>TN 76</t>
        </is>
      </c>
      <c r="B37" s="253" t="n">
        <v>790</v>
      </c>
      <c r="C37" s="254" t="n">
        <v>460</v>
      </c>
      <c r="D37" s="254" t="n"/>
      <c r="E37" s="254" t="n">
        <v>1305</v>
      </c>
      <c r="F37" s="254" t="n"/>
      <c r="G37" s="257" t="n">
        <v>2555</v>
      </c>
      <c r="H37" s="239">
        <f>R11</f>
        <v/>
      </c>
      <c r="Q37" s="229" t="n"/>
    </row>
    <row r="38" ht="14.95" customHeight="1" thickBot="1">
      <c r="A38" s="221" t="inlineStr">
        <is>
          <t>TN78</t>
        </is>
      </c>
      <c r="B38" s="253" t="n">
        <v>959</v>
      </c>
      <c r="C38" s="254" t="n">
        <v>960</v>
      </c>
      <c r="D38" s="254" t="n"/>
      <c r="E38" s="254" t="n"/>
      <c r="F38" s="254" t="n"/>
      <c r="G38" s="257" t="n">
        <v>1919</v>
      </c>
      <c r="H38" s="239">
        <f>R12</f>
        <v/>
      </c>
      <c r="Q38" s="229" t="n"/>
    </row>
  </sheetData>
  <autoFilter ref="A2:R2">
    <sortState ref="A3:R12">
      <sortCondition ref="C2"/>
    </sortState>
  </autoFilter>
  <mergeCells count="1">
    <mergeCell ref="A27:E27"/>
  </mergeCells>
  <conditionalFormatting sqref="B29:B38 C30:E30 E31:E38 F30:G38">
    <cfRule type="cellIs" priority="16" operator="between" dxfId="8">
      <formula>1</formula>
      <formula>299</formula>
    </cfRule>
    <cfRule type="cellIs" priority="14" operator="greaterThan" dxfId="1">
      <formula>500</formula>
    </cfRule>
    <cfRule type="cellIs" priority="15" operator="between" dxfId="2">
      <formula>300</formula>
      <formula>500</formula>
    </cfRule>
  </conditionalFormatting>
  <conditionalFormatting sqref="B29:E38 F30:F38 G29:G38">
    <cfRule type="cellIs" priority="17" operator="equal">
      <formula>0</formula>
    </cfRule>
  </conditionalFormatting>
  <conditionalFormatting sqref="C29:E38 F30:F38 G29:G38">
    <cfRule type="cellIs" priority="11" operator="between" dxfId="8">
      <formula>1</formula>
      <formula>600</formula>
    </cfRule>
    <cfRule type="cellIs" priority="12" operator="between" dxfId="2">
      <formula>600</formula>
      <formula>1000</formula>
    </cfRule>
    <cfRule type="cellIs" priority="13" operator="greaterThan" dxfId="1">
      <formula>1000</formula>
    </cfRule>
  </conditionalFormatting>
  <conditionalFormatting sqref="D29:E38 F30:F38 G29:G38">
    <cfRule type="cellIs" priority="8" operator="greaterThan" dxfId="1">
      <formula>1501</formula>
    </cfRule>
    <cfRule type="cellIs" priority="9" operator="between" dxfId="8">
      <formula>1</formula>
      <formula>900</formula>
    </cfRule>
    <cfRule type="cellIs" priority="10" operator="between" dxfId="2">
      <formula>900</formula>
      <formula>1500</formula>
    </cfRule>
  </conditionalFormatting>
  <conditionalFormatting sqref="E29:E38 F30:F38">
    <cfRule type="cellIs" priority="7" operator="greaterThan" dxfId="1">
      <formula>2000</formula>
    </cfRule>
  </conditionalFormatting>
  <conditionalFormatting sqref="E29:E38 F30:F38 G29:G38">
    <cfRule type="cellIs" priority="5" operator="between" dxfId="2">
      <formula>1201</formula>
      <formula>2000</formula>
    </cfRule>
    <cfRule type="cellIs" priority="6" operator="between" dxfId="1">
      <formula>1</formula>
      <formula>1200</formula>
    </cfRule>
  </conditionalFormatting>
  <conditionalFormatting sqref="G29:G38">
    <cfRule type="cellIs" priority="1" operator="between" dxfId="2">
      <formula>1500</formula>
      <formula>2000</formula>
    </cfRule>
    <cfRule type="cellIs" priority="2" operator="between" dxfId="2">
      <formula>1200</formula>
      <formula>2000</formula>
    </cfRule>
    <cfRule type="cellIs" priority="3" operator="greaterThan" dxfId="1">
      <formula>2000</formula>
    </cfRule>
  </conditionalFormatting>
  <conditionalFormatting sqref="H29:H38">
    <cfRule type="cellIs" priority="4" operator="lessThan" dxfId="0">
      <formula>$H$28</formula>
    </cfRule>
  </conditionalFormatting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R38"/>
  <sheetViews>
    <sheetView view="pageBreakPreview" topLeftCell="B1" zoomScale="90" zoomScaleNormal="90" zoomScaleSheetLayoutView="90" workbookViewId="0">
      <selection activeCell="F6" sqref="F6"/>
    </sheetView>
  </sheetViews>
  <sheetFormatPr baseColWidth="8" defaultColWidth="9.125" defaultRowHeight="14.3"/>
  <cols>
    <col width="16.125" customWidth="1" min="1" max="1"/>
    <col width="15.625" customWidth="1" min="2" max="5"/>
    <col width="11.125" customWidth="1" min="6" max="6"/>
    <col width="12.875" customWidth="1" min="7" max="7"/>
    <col width="19.5" bestFit="1" customWidth="1" min="8" max="8"/>
    <col width="13.625" bestFit="1" customWidth="1" min="9" max="9"/>
    <col width="11.125" bestFit="1" customWidth="1" min="10" max="10"/>
    <col width="11.125" customWidth="1" min="11" max="13"/>
    <col width="16.375" customWidth="1" min="14" max="15"/>
    <col width="19.875" bestFit="1" customWidth="1" style="229" min="16" max="16"/>
    <col width="26.875" bestFit="1" customWidth="1" min="17" max="17"/>
    <col width="18.375" bestFit="1" customWidth="1" min="18" max="18"/>
  </cols>
  <sheetData>
    <row r="1">
      <c r="A1" s="169" t="inlineStr">
        <is>
          <t xml:space="preserve">Veículos Cadastrados </t>
        </is>
      </c>
      <c r="B1" s="170" t="n"/>
      <c r="C1" s="170" t="n"/>
      <c r="D1" s="170" t="n"/>
      <c r="E1" s="170" t="n"/>
      <c r="F1" s="170" t="n"/>
      <c r="G1" s="170" t="n"/>
      <c r="H1" s="170" t="n"/>
      <c r="I1" s="170" t="n"/>
      <c r="J1" s="170" t="n"/>
      <c r="K1" s="170" t="n"/>
      <c r="L1" s="170" t="n"/>
      <c r="M1" s="170" t="n"/>
      <c r="N1" s="170" t="n"/>
      <c r="O1" s="170" t="n"/>
      <c r="P1" s="228" t="n"/>
      <c r="Q1" s="171" t="n"/>
      <c r="R1" s="172" t="n"/>
    </row>
    <row r="2">
      <c r="A2" s="193" t="inlineStr">
        <is>
          <t>Tipo</t>
        </is>
      </c>
      <c r="B2" s="193" t="inlineStr">
        <is>
          <t xml:space="preserve">Modelos </t>
        </is>
      </c>
      <c r="C2" s="193" t="inlineStr">
        <is>
          <t>Tag</t>
        </is>
      </c>
      <c r="D2" s="193" t="inlineStr">
        <is>
          <t>Locadora</t>
        </is>
      </c>
      <c r="E2" s="193" t="inlineStr">
        <is>
          <t>Localidade</t>
        </is>
      </c>
      <c r="F2" s="193" t="inlineStr">
        <is>
          <t>Placa</t>
        </is>
      </c>
      <c r="G2" s="193" t="inlineStr">
        <is>
          <t>SSO</t>
        </is>
      </c>
      <c r="H2" s="193" t="inlineStr">
        <is>
          <t>Condutores</t>
        </is>
      </c>
      <c r="I2" s="193" t="inlineStr">
        <is>
          <t>SEMANA S1</t>
        </is>
      </c>
      <c r="J2" s="193" t="inlineStr">
        <is>
          <t>KM INICIAL</t>
        </is>
      </c>
      <c r="K2" s="216" t="inlineStr">
        <is>
          <t>S1</t>
        </is>
      </c>
      <c r="L2" s="216" t="inlineStr">
        <is>
          <t>S2</t>
        </is>
      </c>
      <c r="M2" s="216" t="inlineStr">
        <is>
          <t>S3</t>
        </is>
      </c>
      <c r="N2" s="216" t="inlineStr">
        <is>
          <t>S4</t>
        </is>
      </c>
      <c r="O2" s="216" t="inlineStr">
        <is>
          <t>S5</t>
        </is>
      </c>
      <c r="P2" s="236" t="inlineStr">
        <is>
          <t>ULTIMA LAVAGEM</t>
        </is>
      </c>
      <c r="Q2" s="261" t="inlineStr">
        <is>
          <t>STATUS DA LAVAGEM</t>
        </is>
      </c>
      <c r="R2" s="216" t="inlineStr">
        <is>
          <t>PROX. LAVAGEM</t>
        </is>
      </c>
    </row>
    <row r="3">
      <c r="A3" s="198" t="inlineStr">
        <is>
          <t>Leve</t>
        </is>
      </c>
      <c r="B3" s="198" t="inlineStr">
        <is>
          <t>Tracker</t>
        </is>
      </c>
      <c r="C3" s="238" t="inlineStr">
        <is>
          <t>TN 01</t>
        </is>
      </c>
      <c r="D3" s="198" t="inlineStr">
        <is>
          <t>Localiza</t>
        </is>
      </c>
      <c r="E3" s="198" t="inlineStr">
        <is>
          <t>CKS</t>
        </is>
      </c>
      <c r="F3" s="198" t="inlineStr">
        <is>
          <t>FQQ8B72</t>
        </is>
      </c>
      <c r="G3" s="198" t="inlineStr">
        <is>
          <t>CARAJÁS</t>
        </is>
      </c>
      <c r="H3" s="249" t="n"/>
      <c r="I3" s="244" t="n">
        <v>46031</v>
      </c>
      <c r="J3" s="207" t="n"/>
      <c r="K3" s="237" t="n"/>
      <c r="L3" s="237" t="n">
        <v>36024</v>
      </c>
      <c r="M3" s="207" t="n">
        <v>36338</v>
      </c>
      <c r="N3" s="207" t="n"/>
      <c r="O3" s="207" t="n"/>
      <c r="P3" s="242" t="n"/>
      <c r="Q3" s="233" t="inlineStr">
        <is>
          <t xml:space="preserve">PENDENTE </t>
        </is>
      </c>
      <c r="R3" s="240" t="n"/>
    </row>
    <row r="4">
      <c r="A4" s="198" t="inlineStr">
        <is>
          <t>Caminhonete</t>
        </is>
      </c>
      <c r="B4" s="198" t="inlineStr">
        <is>
          <t>Hillux</t>
        </is>
      </c>
      <c r="C4" s="238" t="inlineStr">
        <is>
          <t>TN 03</t>
        </is>
      </c>
      <c r="D4" s="198" t="inlineStr">
        <is>
          <t>SINAL</t>
        </is>
      </c>
      <c r="E4" s="198" t="inlineStr">
        <is>
          <t>CKS</t>
        </is>
      </c>
      <c r="F4" s="262" t="inlineStr">
        <is>
          <t>TCD7H75</t>
        </is>
      </c>
      <c r="G4" s="197" t="inlineStr">
        <is>
          <t>CARAJÁS</t>
        </is>
      </c>
      <c r="H4" s="249" t="n"/>
      <c r="I4" s="244" t="n">
        <v>46031</v>
      </c>
      <c r="J4" s="207" t="n"/>
      <c r="K4" s="237" t="n"/>
      <c r="L4" s="237" t="n">
        <v>31508</v>
      </c>
      <c r="M4" s="207" t="n">
        <v>32013</v>
      </c>
      <c r="N4" s="207" t="n"/>
      <c r="O4" s="207" t="n"/>
      <c r="P4" s="242" t="inlineStr">
        <is>
          <t>18.12.2025</t>
        </is>
      </c>
      <c r="Q4" s="233" t="inlineStr">
        <is>
          <t xml:space="preserve">PENDENTE </t>
        </is>
      </c>
      <c r="R4" s="241" t="inlineStr">
        <is>
          <t>13.01.2026</t>
        </is>
      </c>
    </row>
    <row r="5">
      <c r="A5" s="198" t="inlineStr">
        <is>
          <t>Caminhonete</t>
        </is>
      </c>
      <c r="B5" s="198" t="inlineStr">
        <is>
          <t>HILLUX</t>
        </is>
      </c>
      <c r="C5" s="235" t="inlineStr">
        <is>
          <t>TN 04</t>
        </is>
      </c>
      <c r="D5" s="198" t="inlineStr">
        <is>
          <t>SINAL</t>
        </is>
      </c>
      <c r="E5" s="198" t="inlineStr">
        <is>
          <t>CKS</t>
        </is>
      </c>
      <c r="F5" s="262" t="inlineStr">
        <is>
          <t>TDM2E37</t>
        </is>
      </c>
      <c r="G5" s="198" t="inlineStr">
        <is>
          <t>CARAJÁS</t>
        </is>
      </c>
      <c r="H5" s="249" t="n"/>
      <c r="I5" s="244" t="n">
        <v>46031</v>
      </c>
      <c r="J5" s="207" t="n"/>
      <c r="K5" s="207" t="n"/>
      <c r="L5" s="207" t="n">
        <v>26082</v>
      </c>
      <c r="M5" s="207" t="n">
        <v>26776</v>
      </c>
      <c r="N5" s="207" t="n"/>
      <c r="O5" s="207" t="n">
        <v>27542</v>
      </c>
      <c r="P5" s="242" t="inlineStr">
        <is>
          <t>20.01.2026</t>
        </is>
      </c>
      <c r="Q5" s="260" t="inlineStr">
        <is>
          <t>EM DIA</t>
        </is>
      </c>
      <c r="R5" s="242" t="inlineStr">
        <is>
          <t>02.02.2026</t>
        </is>
      </c>
    </row>
    <row r="6">
      <c r="A6" s="197" t="inlineStr">
        <is>
          <t>Caminhonete</t>
        </is>
      </c>
      <c r="B6" s="197" t="inlineStr">
        <is>
          <t>CHEVROLET S10</t>
        </is>
      </c>
      <c r="C6" s="238" t="inlineStr">
        <is>
          <t>TN 29</t>
        </is>
      </c>
      <c r="D6" s="197" t="inlineStr">
        <is>
          <t>SONDA</t>
        </is>
      </c>
      <c r="E6" s="197" t="inlineStr">
        <is>
          <t>CKS</t>
        </is>
      </c>
      <c r="F6" s="263" t="inlineStr">
        <is>
          <t>SHX8B70</t>
        </is>
      </c>
      <c r="G6" s="197" t="inlineStr">
        <is>
          <t>CARAJÁS</t>
        </is>
      </c>
      <c r="H6" s="245" t="inlineStr">
        <is>
          <t>RAIMUNDO CHARLES</t>
        </is>
      </c>
      <c r="I6" s="244" t="n">
        <v>46031</v>
      </c>
      <c r="J6" s="207" t="n">
        <v>178654</v>
      </c>
      <c r="K6" s="207" t="n"/>
      <c r="L6" s="207" t="n">
        <v>179243</v>
      </c>
      <c r="M6" s="207" t="n">
        <v>180112</v>
      </c>
      <c r="N6" s="207" t="n">
        <v>180703</v>
      </c>
      <c r="O6" s="207" t="n">
        <v>181311</v>
      </c>
      <c r="P6" s="242" t="inlineStr">
        <is>
          <t>09.01.2026</t>
        </is>
      </c>
      <c r="Q6" s="260" t="inlineStr">
        <is>
          <t>EM DIA</t>
        </is>
      </c>
      <c r="R6" s="242" t="inlineStr">
        <is>
          <t>02.02.2026</t>
        </is>
      </c>
    </row>
    <row r="7">
      <c r="A7" s="198" t="inlineStr">
        <is>
          <t>Caminhonete</t>
        </is>
      </c>
      <c r="B7" s="198" t="inlineStr">
        <is>
          <t>Hillux</t>
        </is>
      </c>
      <c r="C7" s="238" t="inlineStr">
        <is>
          <t>TN 31</t>
        </is>
      </c>
      <c r="D7" s="198" t="inlineStr">
        <is>
          <t>SINAL</t>
        </is>
      </c>
      <c r="E7" s="198" t="inlineStr">
        <is>
          <t>CKS</t>
        </is>
      </c>
      <c r="F7" s="262" t="inlineStr">
        <is>
          <t>TCD7I68</t>
        </is>
      </c>
      <c r="G7" s="197" t="inlineStr">
        <is>
          <t>CARAJÁS</t>
        </is>
      </c>
      <c r="H7" s="245" t="inlineStr">
        <is>
          <t>WILLIAM</t>
        </is>
      </c>
      <c r="I7" s="244" t="n">
        <v>46031</v>
      </c>
      <c r="J7" s="207" t="n">
        <v>28717</v>
      </c>
      <c r="K7" s="207" t="n"/>
      <c r="L7" s="207" t="n">
        <v>29415</v>
      </c>
      <c r="M7" s="207" t="n">
        <v>29989</v>
      </c>
      <c r="N7" s="207" t="n"/>
      <c r="O7" s="207" t="n"/>
      <c r="P7" s="242" t="inlineStr">
        <is>
          <t>28.12.2025</t>
        </is>
      </c>
      <c r="Q7" s="233" t="inlineStr">
        <is>
          <t xml:space="preserve">PENDENTE </t>
        </is>
      </c>
      <c r="R7" s="241" t="inlineStr">
        <is>
          <t>11.01.2026</t>
        </is>
      </c>
    </row>
    <row r="8">
      <c r="A8" s="198" t="inlineStr">
        <is>
          <t>Caminhonete</t>
        </is>
      </c>
      <c r="B8" s="198" t="inlineStr">
        <is>
          <t xml:space="preserve">FORD RANGER </t>
        </is>
      </c>
      <c r="C8" s="198" t="inlineStr">
        <is>
          <t>TN 72</t>
        </is>
      </c>
      <c r="D8" s="198" t="inlineStr">
        <is>
          <t>SINAL</t>
        </is>
      </c>
      <c r="E8" s="198" t="inlineStr">
        <is>
          <t>CKS</t>
        </is>
      </c>
      <c r="F8" s="262" t="inlineStr">
        <is>
          <t>FXD9A18</t>
        </is>
      </c>
      <c r="G8" s="197" t="inlineStr">
        <is>
          <t>CARAJÁS</t>
        </is>
      </c>
      <c r="H8" s="245" t="inlineStr">
        <is>
          <t>JOÃO PAULO</t>
        </is>
      </c>
      <c r="I8" s="244" t="n">
        <v>46031</v>
      </c>
      <c r="J8" s="207" t="n">
        <v>116134</v>
      </c>
      <c r="K8" s="207" t="n"/>
      <c r="L8" s="207" t="n">
        <v>117036</v>
      </c>
      <c r="M8" s="207" t="n">
        <v>117703</v>
      </c>
      <c r="N8" s="207" t="n">
        <v>118404</v>
      </c>
      <c r="O8" s="207" t="n">
        <v>119233</v>
      </c>
      <c r="P8" s="240" t="inlineStr">
        <is>
          <t>13.01.2025</t>
        </is>
      </c>
      <c r="Q8" s="260" t="inlineStr">
        <is>
          <t>EM DIA</t>
        </is>
      </c>
      <c r="R8" s="240" t="inlineStr">
        <is>
          <t>30.01.2026</t>
        </is>
      </c>
    </row>
    <row r="9">
      <c r="A9" s="197" t="inlineStr">
        <is>
          <t>Caminhonete</t>
        </is>
      </c>
      <c r="B9" s="197" t="inlineStr">
        <is>
          <t>Hillux</t>
        </is>
      </c>
      <c r="C9" s="238" t="inlineStr">
        <is>
          <t>TN 73</t>
        </is>
      </c>
      <c r="D9" s="197" t="inlineStr">
        <is>
          <t>SINAL</t>
        </is>
      </c>
      <c r="E9" s="197" t="inlineStr">
        <is>
          <t>CKS</t>
        </is>
      </c>
      <c r="F9" s="263" t="inlineStr">
        <is>
          <t>TCD7H73</t>
        </is>
      </c>
      <c r="G9" s="197" t="inlineStr">
        <is>
          <t>CARAJÁS</t>
        </is>
      </c>
      <c r="H9" s="248" t="inlineStr">
        <is>
          <t>GABRIEL OLIVEIRA</t>
        </is>
      </c>
      <c r="I9" s="244" t="n">
        <v>46031</v>
      </c>
      <c r="J9" s="207" t="n"/>
      <c r="K9" s="207" t="n"/>
      <c r="L9" s="207" t="n">
        <v>285</v>
      </c>
      <c r="M9" s="207" t="n">
        <v>441</v>
      </c>
      <c r="N9" s="207" t="n"/>
      <c r="O9" s="207" t="n"/>
      <c r="P9" s="243" t="n"/>
      <c r="Q9" s="233" t="inlineStr">
        <is>
          <t xml:space="preserve">PENDENTE </t>
        </is>
      </c>
      <c r="R9" s="243" t="n"/>
    </row>
    <row r="10">
      <c r="A10" s="198" t="inlineStr">
        <is>
          <t>Caminhonete</t>
        </is>
      </c>
      <c r="B10" s="198" t="inlineStr">
        <is>
          <t>Ranger</t>
        </is>
      </c>
      <c r="C10" s="198" t="inlineStr">
        <is>
          <t>TN 74</t>
        </is>
      </c>
      <c r="D10" s="198" t="inlineStr">
        <is>
          <t>SINAL</t>
        </is>
      </c>
      <c r="E10" s="198" t="inlineStr">
        <is>
          <t>CKS</t>
        </is>
      </c>
      <c r="F10" s="262" t="inlineStr">
        <is>
          <t>TDM2E33</t>
        </is>
      </c>
      <c r="G10" s="198" t="inlineStr">
        <is>
          <t>CARAJÁS</t>
        </is>
      </c>
      <c r="H10" s="249" t="n"/>
      <c r="I10" s="244" t="n">
        <v>46031</v>
      </c>
      <c r="J10" s="207" t="n">
        <v>24337</v>
      </c>
      <c r="K10" s="234" t="n"/>
      <c r="L10" s="234" t="n">
        <v>26215</v>
      </c>
      <c r="M10" s="207" t="n">
        <v>27279</v>
      </c>
      <c r="N10" s="207" t="n"/>
      <c r="O10" s="207" t="n"/>
      <c r="P10" s="242" t="inlineStr">
        <is>
          <t>10.01.2026</t>
        </is>
      </c>
      <c r="Q10" s="260" t="inlineStr">
        <is>
          <t>EM DIA</t>
        </is>
      </c>
      <c r="R10" s="242" t="inlineStr">
        <is>
          <t>17.01.2026</t>
        </is>
      </c>
    </row>
    <row r="11">
      <c r="A11" s="209" t="inlineStr">
        <is>
          <t>Caminhonete</t>
        </is>
      </c>
      <c r="B11" s="209" t="inlineStr">
        <is>
          <t>NISSAN FRONTIER</t>
        </is>
      </c>
      <c r="C11" s="209" t="inlineStr">
        <is>
          <t>TN 76</t>
        </is>
      </c>
      <c r="D11" s="209" t="inlineStr">
        <is>
          <t>SINAL</t>
        </is>
      </c>
      <c r="E11" s="209" t="inlineStr">
        <is>
          <t>CKS</t>
        </is>
      </c>
      <c r="F11" s="264" t="inlineStr">
        <is>
          <t>TCD7H72</t>
        </is>
      </c>
      <c r="G11" s="209" t="inlineStr">
        <is>
          <t>CARAJÁS</t>
        </is>
      </c>
      <c r="H11" s="246" t="inlineStr">
        <is>
          <t>ROSIVALDO CORREA</t>
        </is>
      </c>
      <c r="I11" s="244" t="n">
        <v>46031</v>
      </c>
      <c r="J11" s="207" t="n"/>
      <c r="K11" s="207" t="n"/>
      <c r="L11" s="207" t="n">
        <v>26368</v>
      </c>
      <c r="M11" s="207" t="n">
        <v>27109</v>
      </c>
      <c r="N11" s="207" t="n">
        <v>119758</v>
      </c>
      <c r="O11" s="207" t="n">
        <v>27932</v>
      </c>
      <c r="P11" s="242" t="inlineStr">
        <is>
          <t>30.01.2026</t>
        </is>
      </c>
      <c r="Q11" s="260" t="inlineStr">
        <is>
          <t xml:space="preserve">EM DIA </t>
        </is>
      </c>
      <c r="R11" s="240" t="inlineStr">
        <is>
          <t>06.02.2026</t>
        </is>
      </c>
    </row>
    <row r="12">
      <c r="A12" s="202" t="inlineStr">
        <is>
          <t>Caminhonete</t>
        </is>
      </c>
      <c r="B12" s="204" t="inlineStr">
        <is>
          <t>NISSAN FRONTIER</t>
        </is>
      </c>
      <c r="C12" s="204" t="inlineStr">
        <is>
          <t>TN 78</t>
        </is>
      </c>
      <c r="D12" s="202" t="inlineStr">
        <is>
          <t>SONDA</t>
        </is>
      </c>
      <c r="E12" s="202" t="inlineStr">
        <is>
          <t>CKS</t>
        </is>
      </c>
      <c r="F12" s="265" t="inlineStr">
        <is>
          <t xml:space="preserve">FZY4F28 </t>
        </is>
      </c>
      <c r="G12" s="202" t="inlineStr">
        <is>
          <t>CARAJÁS</t>
        </is>
      </c>
      <c r="H12" s="247" t="inlineStr">
        <is>
          <t>RENATO RAMALHO</t>
        </is>
      </c>
      <c r="I12" s="244" t="n">
        <v>46031</v>
      </c>
      <c r="J12" s="207" t="n">
        <v>0</v>
      </c>
      <c r="K12" s="207" t="n"/>
      <c r="L12" s="207" t="n">
        <v>119236</v>
      </c>
      <c r="M12" s="207" t="n">
        <v>120445</v>
      </c>
      <c r="N12" s="207" t="n">
        <v>121600</v>
      </c>
      <c r="O12" s="207" t="n">
        <v>122927</v>
      </c>
      <c r="P12" s="240" t="inlineStr">
        <is>
          <t>09.01.2026</t>
        </is>
      </c>
      <c r="Q12" s="260" t="inlineStr">
        <is>
          <t xml:space="preserve">EM DIA </t>
        </is>
      </c>
      <c r="R12" s="240" t="inlineStr">
        <is>
          <t>30.01.2026</t>
        </is>
      </c>
    </row>
    <row r="13"/>
    <row r="14">
      <c r="A14" s="169" t="inlineStr">
        <is>
          <t xml:space="preserve">Veículos Cadastrados </t>
        </is>
      </c>
      <c r="B14" s="170" t="n"/>
      <c r="C14" s="170" t="n"/>
      <c r="D14" s="170" t="n"/>
      <c r="E14" s="170" t="n"/>
      <c r="F14" s="255" t="n"/>
      <c r="G14" s="170" t="n"/>
      <c r="H14" s="170" t="n"/>
      <c r="I14" s="170" t="n"/>
      <c r="J14" s="170" t="n"/>
      <c r="K14" s="170" t="n"/>
      <c r="L14" s="170" t="n"/>
      <c r="M14" s="170" t="n"/>
      <c r="N14" s="170" t="n"/>
      <c r="O14" s="170" t="n"/>
      <c r="P14" s="228" t="n"/>
      <c r="Q14" s="171" t="n"/>
      <c r="R14" s="172" t="n"/>
    </row>
    <row r="15" hidden="1">
      <c r="A15" s="193" t="inlineStr">
        <is>
          <t>Tipo</t>
        </is>
      </c>
      <c r="B15" s="193" t="inlineStr">
        <is>
          <t xml:space="preserve">Modelos </t>
        </is>
      </c>
      <c r="C15" s="193" t="inlineStr">
        <is>
          <t>Tag</t>
        </is>
      </c>
      <c r="D15" s="193" t="inlineStr">
        <is>
          <t>Locadora</t>
        </is>
      </c>
      <c r="E15" s="193" t="inlineStr">
        <is>
          <t>Localidade</t>
        </is>
      </c>
      <c r="F15" s="193" t="inlineStr">
        <is>
          <t>Placa</t>
        </is>
      </c>
      <c r="G15" s="193" t="inlineStr">
        <is>
          <t>SSO</t>
        </is>
      </c>
      <c r="H15" s="193" t="inlineStr">
        <is>
          <t>Condutores</t>
        </is>
      </c>
      <c r="I15" s="193" t="inlineStr">
        <is>
          <t>SEMANA 02</t>
        </is>
      </c>
      <c r="J15" s="193" t="inlineStr">
        <is>
          <t>KM TOTAL</t>
        </is>
      </c>
      <c r="K15" s="216" t="inlineStr">
        <is>
          <t>S1</t>
        </is>
      </c>
      <c r="L15" s="216" t="inlineStr">
        <is>
          <t>S2</t>
        </is>
      </c>
      <c r="M15" s="216" t="inlineStr">
        <is>
          <t>S3</t>
        </is>
      </c>
      <c r="N15" s="216" t="inlineStr">
        <is>
          <t>S4</t>
        </is>
      </c>
      <c r="O15" s="216" t="n"/>
      <c r="P15" s="230" t="inlineStr">
        <is>
          <t>ULTIMA LAVAGEM</t>
        </is>
      </c>
      <c r="Q15" s="231" t="inlineStr">
        <is>
          <t xml:space="preserve">LAVAGEM PROGRAMADA </t>
        </is>
      </c>
      <c r="R15" s="232" t="inlineStr">
        <is>
          <t>PROX. LAVAGEM</t>
        </is>
      </c>
    </row>
    <row r="16" hidden="1">
      <c r="A16" s="198" t="inlineStr">
        <is>
          <t>Leve</t>
        </is>
      </c>
      <c r="B16" s="198" t="inlineStr">
        <is>
          <t>Tracker</t>
        </is>
      </c>
      <c r="C16" s="198" t="inlineStr">
        <is>
          <t>TN 01</t>
        </is>
      </c>
      <c r="D16" s="198" t="inlineStr">
        <is>
          <t>Localiza</t>
        </is>
      </c>
      <c r="E16" s="198" t="inlineStr">
        <is>
          <t>CKS</t>
        </is>
      </c>
      <c r="F16" s="198" t="inlineStr">
        <is>
          <t>TCO2C15</t>
        </is>
      </c>
      <c r="G16" s="198" t="inlineStr">
        <is>
          <t>CARAJÁS</t>
        </is>
      </c>
      <c r="H16" s="200" t="inlineStr">
        <is>
          <t>Fabricio Maia</t>
        </is>
      </c>
      <c r="I16" s="161" t="n">
        <v>45912</v>
      </c>
      <c r="J16" s="201">
        <f>SUM(K16:N16)</f>
        <v/>
      </c>
      <c r="K16" s="207">
        <f>K3-$J3</f>
        <v/>
      </c>
      <c r="L16" s="207">
        <f>L3-$J3</f>
        <v/>
      </c>
      <c r="M16" s="207">
        <f>M3-$J3</f>
        <v/>
      </c>
      <c r="N16" s="207">
        <f>N3-$J3</f>
        <v/>
      </c>
      <c r="O16" s="207" t="n"/>
      <c r="P16" s="141" t="n">
        <v>45891</v>
      </c>
      <c r="Q16" s="218" t="n"/>
      <c r="R16" s="98" t="n"/>
    </row>
    <row r="17" hidden="1">
      <c r="A17" s="198" t="inlineStr">
        <is>
          <t>Caminhonete</t>
        </is>
      </c>
      <c r="B17" s="198" t="inlineStr">
        <is>
          <t>Hillux</t>
        </is>
      </c>
      <c r="C17" s="198" t="inlineStr">
        <is>
          <t>TN 03</t>
        </is>
      </c>
      <c r="D17" s="198" t="inlineStr">
        <is>
          <t>SINAL</t>
        </is>
      </c>
      <c r="E17" s="198" t="inlineStr">
        <is>
          <t>CKS</t>
        </is>
      </c>
      <c r="F17" s="198" t="inlineStr">
        <is>
          <t>TCD7H75</t>
        </is>
      </c>
      <c r="G17" s="197" t="inlineStr">
        <is>
          <t>CARAJÁS</t>
        </is>
      </c>
      <c r="H17" s="199" t="inlineStr">
        <is>
          <t>Lucas</t>
        </is>
      </c>
      <c r="I17" s="161" t="n">
        <v>45912</v>
      </c>
      <c r="J17" s="201">
        <f>SUM(K17:N17)</f>
        <v/>
      </c>
      <c r="K17" s="207">
        <f>K4-$J4</f>
        <v/>
      </c>
      <c r="L17" s="207">
        <f>L4-$J4</f>
        <v/>
      </c>
      <c r="M17" s="207">
        <f>M4-$J4</f>
        <v/>
      </c>
      <c r="N17" s="207">
        <f>N4-$J4</f>
        <v/>
      </c>
      <c r="O17" s="207" t="n"/>
      <c r="P17" s="141" t="n">
        <v>45896</v>
      </c>
      <c r="Q17" s="218" t="inlineStr">
        <is>
          <t>pendente</t>
        </is>
      </c>
      <c r="R17" s="99" t="n">
        <v>45921</v>
      </c>
    </row>
    <row r="18" hidden="1">
      <c r="A18" s="198" t="inlineStr">
        <is>
          <t>Caminhonete</t>
        </is>
      </c>
      <c r="B18" s="198" t="inlineStr">
        <is>
          <t>HILLUX</t>
        </is>
      </c>
      <c r="C18" s="198" t="inlineStr">
        <is>
          <t>TN 04</t>
        </is>
      </c>
      <c r="D18" s="198" t="inlineStr">
        <is>
          <t>SINAL</t>
        </is>
      </c>
      <c r="E18" s="198" t="inlineStr">
        <is>
          <t>CKS</t>
        </is>
      </c>
      <c r="F18" s="198" t="inlineStr">
        <is>
          <t>TDM2E37</t>
        </is>
      </c>
      <c r="G18" s="198" t="inlineStr">
        <is>
          <t>CARAJÁS</t>
        </is>
      </c>
      <c r="H18" s="200" t="inlineStr">
        <is>
          <t>MATHEUS</t>
        </is>
      </c>
      <c r="I18" s="161" t="n">
        <v>45912</v>
      </c>
      <c r="J18" s="201">
        <f>SUM(K18:N18)</f>
        <v/>
      </c>
      <c r="K18" s="207">
        <f>K5-$J5</f>
        <v/>
      </c>
      <c r="L18" s="207">
        <f>L5-$J5</f>
        <v/>
      </c>
      <c r="M18" s="207">
        <f>M5-$J5</f>
        <v/>
      </c>
      <c r="N18" s="207">
        <f>N5-$J5</f>
        <v/>
      </c>
      <c r="O18" s="207" t="n"/>
      <c r="P18" s="141" t="n">
        <v>45908</v>
      </c>
      <c r="Q18" s="182" t="inlineStr">
        <is>
          <t>ok</t>
        </is>
      </c>
      <c r="R18" s="99" t="n">
        <v>45919</v>
      </c>
    </row>
    <row r="19" hidden="1">
      <c r="A19" s="197" t="inlineStr">
        <is>
          <t>Caminhonete</t>
        </is>
      </c>
      <c r="B19" s="197" t="inlineStr">
        <is>
          <t>CHEVROLET S10</t>
        </is>
      </c>
      <c r="C19" s="198" t="inlineStr">
        <is>
          <t>TN 29</t>
        </is>
      </c>
      <c r="D19" s="197" t="inlineStr">
        <is>
          <t>Sonda</t>
        </is>
      </c>
      <c r="E19" s="197" t="inlineStr">
        <is>
          <t>CKS</t>
        </is>
      </c>
      <c r="F19" s="197" t="inlineStr">
        <is>
          <t>FXR0F35</t>
        </is>
      </c>
      <c r="G19" s="197" t="inlineStr">
        <is>
          <t>CARAJÁS</t>
        </is>
      </c>
      <c r="H19" s="199" t="inlineStr">
        <is>
          <t>JOÃO TAVARES</t>
        </is>
      </c>
      <c r="I19" s="161" t="n">
        <v>45912</v>
      </c>
      <c r="J19" s="201">
        <f>SUM(K19:N19)</f>
        <v/>
      </c>
      <c r="K19" s="207">
        <f>K6-$J6</f>
        <v/>
      </c>
      <c r="L19" s="207">
        <f>L6-$J6</f>
        <v/>
      </c>
      <c r="M19" s="207">
        <f>M6-$J6</f>
        <v/>
      </c>
      <c r="N19" s="207">
        <f>N6-$J6</f>
        <v/>
      </c>
      <c r="O19" s="207" t="n"/>
      <c r="P19" s="141" t="n">
        <v>45916</v>
      </c>
      <c r="Q19" s="182" t="inlineStr">
        <is>
          <t>ok</t>
        </is>
      </c>
      <c r="R19" s="99" t="n">
        <v>45924</v>
      </c>
    </row>
    <row r="20" hidden="1">
      <c r="A20" s="198" t="inlineStr">
        <is>
          <t>Caminhonete</t>
        </is>
      </c>
      <c r="B20" s="198" t="inlineStr">
        <is>
          <t>Hillux</t>
        </is>
      </c>
      <c r="C20" s="198" t="inlineStr">
        <is>
          <t>TN 31</t>
        </is>
      </c>
      <c r="D20" s="198" t="inlineStr">
        <is>
          <t>SINAL</t>
        </is>
      </c>
      <c r="E20" s="198" t="inlineStr">
        <is>
          <t>CKS</t>
        </is>
      </c>
      <c r="F20" s="198" t="inlineStr">
        <is>
          <t>TCD7I68</t>
        </is>
      </c>
      <c r="G20" s="197" t="inlineStr">
        <is>
          <t>CARAJÁS</t>
        </is>
      </c>
      <c r="H20" s="199" t="inlineStr">
        <is>
          <t>Lucas</t>
        </is>
      </c>
      <c r="I20" s="161" t="n">
        <v>45912</v>
      </c>
      <c r="J20" s="201">
        <f>SUM(K20:N20)</f>
        <v/>
      </c>
      <c r="K20" s="207">
        <f>K7-$J7</f>
        <v/>
      </c>
      <c r="L20" s="207">
        <f>L7-$J7</f>
        <v/>
      </c>
      <c r="M20" s="207">
        <f>M7-$J7</f>
        <v/>
      </c>
      <c r="N20" s="207">
        <f>N7-$J7</f>
        <v/>
      </c>
      <c r="O20" s="207" t="n"/>
      <c r="P20" s="141" t="n">
        <v>45901</v>
      </c>
      <c r="Q20" s="182" t="inlineStr">
        <is>
          <t>pendente</t>
        </is>
      </c>
      <c r="R20" s="99" t="n">
        <v>45920</v>
      </c>
    </row>
    <row r="21" hidden="1">
      <c r="A21" s="198" t="inlineStr">
        <is>
          <t>Caminhonete</t>
        </is>
      </c>
      <c r="B21" s="198" t="inlineStr">
        <is>
          <t xml:space="preserve">FORD RANGER </t>
        </is>
      </c>
      <c r="C21" s="198" t="inlineStr">
        <is>
          <t>TN 72</t>
        </is>
      </c>
      <c r="D21" s="198" t="inlineStr">
        <is>
          <t>Sonda</t>
        </is>
      </c>
      <c r="E21" s="198" t="inlineStr">
        <is>
          <t>CKS</t>
        </is>
      </c>
      <c r="F21" s="198" t="inlineStr">
        <is>
          <t>FXD9A18</t>
        </is>
      </c>
      <c r="G21" s="197" t="inlineStr">
        <is>
          <t>CARAJÁS</t>
        </is>
      </c>
      <c r="H21" s="199" t="inlineStr">
        <is>
          <t>RAIMUNDO CHARLES</t>
        </is>
      </c>
      <c r="I21" s="161" t="n">
        <v>45912</v>
      </c>
      <c r="J21" s="201">
        <f>SUM(K21:N21)</f>
        <v/>
      </c>
      <c r="K21" s="207">
        <f>K8-$J8</f>
        <v/>
      </c>
      <c r="L21" s="207">
        <f>L8-$J8</f>
        <v/>
      </c>
      <c r="M21" s="207">
        <f>M8-$J8</f>
        <v/>
      </c>
      <c r="N21" s="207">
        <f>N8-$J8</f>
        <v/>
      </c>
      <c r="O21" s="207" t="n"/>
      <c r="P21" s="141" t="n">
        <v>45904</v>
      </c>
      <c r="Q21" s="218" t="inlineStr">
        <is>
          <t>pendente</t>
        </is>
      </c>
      <c r="R21" s="99" t="n">
        <v>45926</v>
      </c>
    </row>
    <row r="22" hidden="1">
      <c r="A22" s="197" t="inlineStr">
        <is>
          <t>Caminhonete</t>
        </is>
      </c>
      <c r="B22" s="197" t="inlineStr">
        <is>
          <t>Hillux</t>
        </is>
      </c>
      <c r="C22" s="198" t="inlineStr">
        <is>
          <t>TN 73</t>
        </is>
      </c>
      <c r="D22" s="197" t="inlineStr">
        <is>
          <t>SINAL</t>
        </is>
      </c>
      <c r="E22" s="197" t="inlineStr">
        <is>
          <t>CKS</t>
        </is>
      </c>
      <c r="F22" s="197" t="inlineStr">
        <is>
          <t>TCD7H73</t>
        </is>
      </c>
      <c r="G22" s="197" t="inlineStr">
        <is>
          <t>CARAJÁS</t>
        </is>
      </c>
      <c r="H22" s="199" t="inlineStr">
        <is>
          <t>William</t>
        </is>
      </c>
      <c r="I22" s="161" t="n">
        <v>45912</v>
      </c>
      <c r="J22" s="201">
        <f>SUM(K22:N22)</f>
        <v/>
      </c>
      <c r="K22" s="207">
        <f>K9-$J9</f>
        <v/>
      </c>
      <c r="L22" s="207">
        <f>L9-$J9</f>
        <v/>
      </c>
      <c r="M22" s="207">
        <f>M9-$J9</f>
        <v/>
      </c>
      <c r="N22" s="207">
        <f>N9-$J9</f>
        <v/>
      </c>
      <c r="O22" s="251" t="n"/>
      <c r="P22" s="59" t="n">
        <v>45905</v>
      </c>
      <c r="Q22" s="184" t="inlineStr">
        <is>
          <t>pendente</t>
        </is>
      </c>
      <c r="R22" s="99" t="n">
        <v>45924</v>
      </c>
    </row>
    <row r="23" hidden="1">
      <c r="A23" s="198" t="inlineStr">
        <is>
          <t>Caminhonete</t>
        </is>
      </c>
      <c r="B23" s="198" t="inlineStr">
        <is>
          <t>Ranger</t>
        </is>
      </c>
      <c r="C23" s="198" t="inlineStr">
        <is>
          <t>TN 74</t>
        </is>
      </c>
      <c r="D23" s="198" t="inlineStr">
        <is>
          <t>SONDA</t>
        </is>
      </c>
      <c r="E23" s="198" t="inlineStr">
        <is>
          <t>CKS</t>
        </is>
      </c>
      <c r="F23" s="198" t="inlineStr">
        <is>
          <t>RDM2E33</t>
        </is>
      </c>
      <c r="G23" s="198" t="inlineStr">
        <is>
          <t>CARAJÁS</t>
        </is>
      </c>
      <c r="H23" s="200" t="inlineStr">
        <is>
          <t>Ederson</t>
        </is>
      </c>
      <c r="I23" s="161" t="n">
        <v>45912</v>
      </c>
      <c r="J23" s="201">
        <f>SUM(K23:N23)</f>
        <v/>
      </c>
      <c r="K23" s="207">
        <f>K10-$J10</f>
        <v/>
      </c>
      <c r="L23" s="207">
        <f>L10-$J10</f>
        <v/>
      </c>
      <c r="M23" s="207">
        <f>M10-$J10</f>
        <v/>
      </c>
      <c r="N23" s="207">
        <f>N10-$J10</f>
        <v/>
      </c>
      <c r="O23" s="207" t="n"/>
      <c r="P23" s="141" t="n">
        <v>45918</v>
      </c>
      <c r="Q23" s="184" t="inlineStr">
        <is>
          <t>ok</t>
        </is>
      </c>
      <c r="R23" s="99" t="n">
        <v>45923</v>
      </c>
    </row>
    <row r="24" hidden="1">
      <c r="A24" s="209" t="inlineStr">
        <is>
          <t>Caminhonete</t>
        </is>
      </c>
      <c r="B24" s="209" t="inlineStr">
        <is>
          <t>NISSAN FRONTIER</t>
        </is>
      </c>
      <c r="C24" s="209" t="inlineStr">
        <is>
          <t>TN 76</t>
        </is>
      </c>
      <c r="D24" s="209" t="inlineStr">
        <is>
          <t>SINAL</t>
        </is>
      </c>
      <c r="E24" s="209" t="inlineStr">
        <is>
          <t>CKS</t>
        </is>
      </c>
      <c r="F24" s="209" t="inlineStr">
        <is>
          <t>TCD7H72</t>
        </is>
      </c>
      <c r="G24" s="209" t="inlineStr">
        <is>
          <t>CARAJÁS</t>
        </is>
      </c>
      <c r="H24" s="217" t="inlineStr">
        <is>
          <t>Renan</t>
        </is>
      </c>
      <c r="I24" s="161" t="n">
        <v>45912</v>
      </c>
      <c r="J24" s="201">
        <f>SUM(K24:N24)</f>
        <v/>
      </c>
      <c r="K24" s="207">
        <f>K11-$J11</f>
        <v/>
      </c>
      <c r="L24" s="207">
        <f>L11-$J11</f>
        <v/>
      </c>
      <c r="M24" s="207">
        <f>M11-$J11</f>
        <v/>
      </c>
      <c r="N24" s="207">
        <f>N11-$J11</f>
        <v/>
      </c>
      <c r="O24" s="207" t="n"/>
      <c r="P24" s="141" t="n">
        <v>45901</v>
      </c>
      <c r="Q24" s="184" t="inlineStr">
        <is>
          <t>pendente</t>
        </is>
      </c>
      <c r="R24" s="99" t="n">
        <v>45922</v>
      </c>
    </row>
    <row r="25" hidden="1">
      <c r="A25" s="202" t="inlineStr">
        <is>
          <t>Caminhonete</t>
        </is>
      </c>
      <c r="B25" s="204" t="inlineStr">
        <is>
          <t>NISSAN FRONTIER</t>
        </is>
      </c>
      <c r="C25" s="204" t="inlineStr">
        <is>
          <t>TN78</t>
        </is>
      </c>
      <c r="D25" s="202" t="inlineStr">
        <is>
          <t>SONDA</t>
        </is>
      </c>
      <c r="E25" s="202" t="inlineStr">
        <is>
          <t>CKS</t>
        </is>
      </c>
      <c r="F25" s="202" t="inlineStr">
        <is>
          <t xml:space="preserve">FZY4F28 </t>
        </is>
      </c>
      <c r="G25" s="202" t="inlineStr">
        <is>
          <t>CARAJÁS</t>
        </is>
      </c>
      <c r="H25" s="202" t="inlineStr">
        <is>
          <t>Ederson</t>
        </is>
      </c>
      <c r="I25" s="161" t="n">
        <v>45912</v>
      </c>
      <c r="J25" s="201">
        <f>SUM(K25:N25)</f>
        <v/>
      </c>
      <c r="K25" s="207">
        <f>K12-$J12</f>
        <v/>
      </c>
      <c r="L25" s="207">
        <f>L12-$J12</f>
        <v/>
      </c>
      <c r="M25" s="207">
        <f>M12-$J12</f>
        <v/>
      </c>
      <c r="N25" s="207">
        <f>N12-$J12</f>
        <v/>
      </c>
      <c r="O25" s="207" t="n"/>
      <c r="P25" s="141" t="n">
        <v>45905</v>
      </c>
      <c r="Q25" s="184" t="inlineStr">
        <is>
          <t>pendente</t>
        </is>
      </c>
      <c r="R25" s="99" t="n">
        <v>45922</v>
      </c>
    </row>
    <row r="26" ht="14.95" customHeight="1" thickBot="1"/>
    <row r="27" ht="28.55" customHeight="1">
      <c r="A27" s="319" t="inlineStr">
        <is>
          <t>ACOMPANHAMENTO KM SEMANA</t>
        </is>
      </c>
      <c r="B27" s="328" t="n"/>
      <c r="C27" s="328" t="n"/>
      <c r="D27" s="328" t="n"/>
      <c r="E27" s="328" t="n"/>
      <c r="F27" s="226" t="n"/>
      <c r="G27" s="250" t="inlineStr">
        <is>
          <t>ULTIMA LAVAGEM</t>
        </is>
      </c>
      <c r="H27" s="259" t="inlineStr">
        <is>
          <t>Proxima Lavagem</t>
        </is>
      </c>
    </row>
    <row r="28" ht="14.95" customHeight="1" thickBot="1">
      <c r="A28" s="227" t="inlineStr">
        <is>
          <t>TAG</t>
        </is>
      </c>
      <c r="B28" s="222" t="inlineStr">
        <is>
          <t>S1</t>
        </is>
      </c>
      <c r="C28" s="222" t="inlineStr">
        <is>
          <t>S2</t>
        </is>
      </c>
      <c r="D28" s="222" t="inlineStr">
        <is>
          <t>S3</t>
        </is>
      </c>
      <c r="E28" s="223" t="inlineStr">
        <is>
          <t>S4</t>
        </is>
      </c>
      <c r="F28" s="223" t="inlineStr">
        <is>
          <t>S5</t>
        </is>
      </c>
      <c r="G28" s="224" t="inlineStr">
        <is>
          <t>ACUM.</t>
        </is>
      </c>
      <c r="H28" s="225" t="n"/>
      <c r="Q28" s="229" t="n"/>
    </row>
    <row r="29" ht="14.95" customHeight="1" thickBot="1">
      <c r="A29" s="252" t="inlineStr">
        <is>
          <t>TN 01</t>
        </is>
      </c>
      <c r="B29" s="253" t="n"/>
      <c r="C29" s="254" t="n"/>
      <c r="D29" s="254" t="n">
        <v>314</v>
      </c>
      <c r="E29" s="254" t="n"/>
      <c r="F29" s="254" t="n"/>
      <c r="G29" s="257" t="n">
        <v>314</v>
      </c>
      <c r="H29" s="239">
        <f>R3</f>
        <v/>
      </c>
      <c r="Q29" s="229" t="n"/>
    </row>
    <row r="30" ht="14.95" customHeight="1" thickBot="1">
      <c r="A30" s="219" t="inlineStr">
        <is>
          <t>TN 03</t>
        </is>
      </c>
      <c r="B30" s="253" t="n"/>
      <c r="C30" s="254" t="n"/>
      <c r="D30" s="254" t="n">
        <v>505</v>
      </c>
      <c r="E30" s="254" t="n"/>
      <c r="F30" s="254" t="n"/>
      <c r="G30" s="257" t="n">
        <v>505</v>
      </c>
      <c r="H30" s="239">
        <f>R4</f>
        <v/>
      </c>
      <c r="Q30" s="229" t="n"/>
    </row>
    <row r="31" ht="14.95" customHeight="1" thickBot="1">
      <c r="A31" s="219" t="inlineStr">
        <is>
          <t>TN 04</t>
        </is>
      </c>
      <c r="B31" s="253" t="n"/>
      <c r="C31" s="254" t="n"/>
      <c r="D31" s="254" t="n">
        <v>694</v>
      </c>
      <c r="E31" s="254" t="n"/>
      <c r="F31" s="254" t="n">
        <v>766</v>
      </c>
      <c r="G31" s="257" t="n">
        <v>1460</v>
      </c>
      <c r="H31" s="239">
        <f>R5</f>
        <v/>
      </c>
      <c r="Q31" s="229" t="n"/>
    </row>
    <row r="32" ht="14.95" customHeight="1" thickBot="1">
      <c r="A32" s="219" t="inlineStr">
        <is>
          <t>TN 29</t>
        </is>
      </c>
      <c r="B32" s="253" t="n"/>
      <c r="C32" s="254" t="n">
        <v>589</v>
      </c>
      <c r="D32" s="254" t="n">
        <v>869</v>
      </c>
      <c r="E32" s="254" t="n">
        <v>591</v>
      </c>
      <c r="F32" s="254" t="n">
        <v>608</v>
      </c>
      <c r="G32" s="257" t="n">
        <v>2657</v>
      </c>
      <c r="H32" s="239">
        <f>R6</f>
        <v/>
      </c>
      <c r="Q32" s="229" t="n"/>
    </row>
    <row r="33" ht="14.95" customHeight="1" thickBot="1">
      <c r="A33" s="219" t="inlineStr">
        <is>
          <t>TN 31</t>
        </is>
      </c>
      <c r="B33" s="253" t="n"/>
      <c r="C33" s="254" t="n">
        <v>698</v>
      </c>
      <c r="D33" s="254" t="n">
        <v>574</v>
      </c>
      <c r="E33" s="254" t="n"/>
      <c r="F33" s="254" t="n"/>
      <c r="G33" s="257" t="n">
        <v>1272</v>
      </c>
      <c r="H33" s="239">
        <f>R7</f>
        <v/>
      </c>
      <c r="Q33" s="229" t="n"/>
    </row>
    <row r="34" ht="14.95" customHeight="1" thickBot="1">
      <c r="A34" s="219" t="inlineStr">
        <is>
          <t>TN 72</t>
        </is>
      </c>
      <c r="B34" s="253" t="n"/>
      <c r="C34" s="254" t="n">
        <v>902</v>
      </c>
      <c r="D34" s="254" t="n">
        <v>667</v>
      </c>
      <c r="E34" s="254" t="n">
        <v>701</v>
      </c>
      <c r="F34" s="254" t="n">
        <v>829</v>
      </c>
      <c r="G34" s="257" t="n">
        <v>3099</v>
      </c>
      <c r="H34" s="239">
        <f>R8</f>
        <v/>
      </c>
      <c r="Q34" s="229" t="n"/>
    </row>
    <row r="35" ht="14.95" customHeight="1" thickBot="1">
      <c r="A35" s="219" t="inlineStr">
        <is>
          <t>TN 73</t>
        </is>
      </c>
      <c r="B35" s="253" t="n"/>
      <c r="C35" s="254" t="n"/>
      <c r="D35" s="254" t="n">
        <v>156</v>
      </c>
      <c r="E35" s="254" t="n"/>
      <c r="F35" s="254" t="n"/>
      <c r="G35" s="257" t="n">
        <v>156</v>
      </c>
      <c r="H35" s="239">
        <f>R9</f>
        <v/>
      </c>
      <c r="Q35" s="229" t="n"/>
    </row>
    <row r="36" ht="14.95" customHeight="1" thickBot="1">
      <c r="A36" s="219" t="inlineStr">
        <is>
          <t>TN 74</t>
        </is>
      </c>
      <c r="B36" s="253" t="n"/>
      <c r="C36" s="254" t="n">
        <v>1878</v>
      </c>
      <c r="D36" s="254" t="n">
        <v>1064</v>
      </c>
      <c r="E36" s="254" t="n"/>
      <c r="F36" s="254" t="n"/>
      <c r="G36" s="257" t="n">
        <v>2942</v>
      </c>
      <c r="H36" s="239">
        <f>R10</f>
        <v/>
      </c>
      <c r="Q36" s="229" t="n"/>
    </row>
    <row r="37" ht="14.95" customHeight="1" thickBot="1">
      <c r="A37" s="220" t="inlineStr">
        <is>
          <t>TN 76</t>
        </is>
      </c>
      <c r="B37" s="253" t="n"/>
      <c r="C37" s="254" t="n"/>
      <c r="D37" s="254" t="n">
        <v>741</v>
      </c>
      <c r="E37" s="254" t="n"/>
      <c r="F37" s="254" t="n"/>
      <c r="G37" s="257" t="n">
        <v>1564</v>
      </c>
      <c r="H37" s="239">
        <f>R11</f>
        <v/>
      </c>
      <c r="Q37" s="229" t="n"/>
    </row>
    <row r="38" ht="14.95" customHeight="1" thickBot="1">
      <c r="A38" s="221" t="inlineStr">
        <is>
          <t>TN78</t>
        </is>
      </c>
      <c r="B38" s="253" t="n"/>
      <c r="C38" s="254" t="n"/>
      <c r="D38" s="254" t="n">
        <v>1209</v>
      </c>
      <c r="E38" s="254" t="n">
        <v>1155</v>
      </c>
      <c r="F38" s="254" t="n">
        <v>1327</v>
      </c>
      <c r="G38" s="257" t="n">
        <v>3691</v>
      </c>
      <c r="H38" s="239">
        <f>R12</f>
        <v/>
      </c>
      <c r="Q38" s="229" t="n"/>
    </row>
  </sheetData>
  <autoFilter ref="A2:R2">
    <sortState ref="A3:R12">
      <sortCondition ref="C2"/>
    </sortState>
  </autoFilter>
  <mergeCells count="1">
    <mergeCell ref="A27:E27"/>
  </mergeCells>
  <conditionalFormatting sqref="B29:B38 C30:E30 E31:E38 F30:G38">
    <cfRule type="cellIs" priority="16" operator="between" dxfId="8">
      <formula>1</formula>
      <formula>299</formula>
    </cfRule>
    <cfRule type="cellIs" priority="14" operator="greaterThan" dxfId="1">
      <formula>500</formula>
    </cfRule>
    <cfRule type="cellIs" priority="15" operator="between" dxfId="2">
      <formula>300</formula>
      <formula>500</formula>
    </cfRule>
  </conditionalFormatting>
  <conditionalFormatting sqref="B29:G38">
    <cfRule type="cellIs" priority="17" operator="equal">
      <formula>0</formula>
    </cfRule>
  </conditionalFormatting>
  <conditionalFormatting sqref="C29:G38">
    <cfRule type="cellIs" priority="11" operator="between" dxfId="8">
      <formula>1</formula>
      <formula>600</formula>
    </cfRule>
    <cfRule type="cellIs" priority="12" operator="between" dxfId="2">
      <formula>600</formula>
      <formula>1000</formula>
    </cfRule>
    <cfRule type="cellIs" priority="13" operator="greaterThan" dxfId="1">
      <formula>1000</formula>
    </cfRule>
  </conditionalFormatting>
  <conditionalFormatting sqref="D29:G38">
    <cfRule type="cellIs" priority="8" operator="greaterThan" dxfId="1">
      <formula>1501</formula>
    </cfRule>
    <cfRule type="cellIs" priority="9" operator="between" dxfId="8">
      <formula>1</formula>
      <formula>900</formula>
    </cfRule>
    <cfRule type="cellIs" priority="10" operator="between" dxfId="2">
      <formula>900</formula>
      <formula>1500</formula>
    </cfRule>
  </conditionalFormatting>
  <conditionalFormatting sqref="E30:F38">
    <cfRule type="cellIs" priority="7" operator="greaterThan" dxfId="1">
      <formula>2000</formula>
    </cfRule>
  </conditionalFormatting>
  <conditionalFormatting sqref="E30:F38 G29:G38">
    <cfRule type="cellIs" priority="5" operator="between" dxfId="2">
      <formula>1201</formula>
      <formula>2000</formula>
    </cfRule>
    <cfRule type="cellIs" priority="6" operator="between" dxfId="1">
      <formula>1</formula>
      <formula>1200</formula>
    </cfRule>
  </conditionalFormatting>
  <conditionalFormatting sqref="G29:G38">
    <cfRule type="cellIs" priority="1" operator="between" dxfId="2">
      <formula>1500</formula>
      <formula>2000</formula>
    </cfRule>
    <cfRule type="cellIs" priority="2" operator="between" dxfId="2">
      <formula>1200</formula>
      <formula>2000</formula>
    </cfRule>
    <cfRule type="cellIs" priority="3" operator="greaterThan" dxfId="1">
      <formula>2000</formula>
    </cfRule>
  </conditionalFormatting>
  <conditionalFormatting sqref="H29:H38">
    <cfRule type="cellIs" priority="4" operator="lessThan" dxfId="0">
      <formula>$H$28</formula>
    </cfRule>
  </conditionalFormatting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R38"/>
  <sheetViews>
    <sheetView view="pageBreakPreview" topLeftCell="B1" zoomScale="90" zoomScaleNormal="90" zoomScaleSheetLayoutView="90" workbookViewId="0">
      <selection activeCell="A1" sqref="A1:R39"/>
    </sheetView>
  </sheetViews>
  <sheetFormatPr baseColWidth="8" defaultColWidth="9.125" defaultRowHeight="14.3"/>
  <cols>
    <col width="16.125" customWidth="1" min="1" max="1"/>
    <col width="15.625" customWidth="1" min="2" max="5"/>
    <col width="11.125" customWidth="1" min="6" max="6"/>
    <col width="12.875" customWidth="1" min="7" max="7"/>
    <col width="19.5" bestFit="1" customWidth="1" min="8" max="8"/>
    <col width="13.625" bestFit="1" customWidth="1" min="9" max="9"/>
    <col width="11.125" bestFit="1" customWidth="1" min="10" max="10"/>
    <col width="11.125" customWidth="1" min="11" max="13"/>
    <col width="16.375" customWidth="1" min="14" max="15"/>
    <col width="19.875" bestFit="1" customWidth="1" style="229" min="16" max="16"/>
    <col width="26.875" bestFit="1" customWidth="1" min="17" max="17"/>
    <col width="18.375" bestFit="1" customWidth="1" min="18" max="18"/>
  </cols>
  <sheetData>
    <row r="1">
      <c r="A1" s="169" t="inlineStr">
        <is>
          <t xml:space="preserve">Veículos Cadastrados </t>
        </is>
      </c>
      <c r="B1" s="170" t="n"/>
      <c r="C1" s="170" t="n"/>
      <c r="D1" s="170" t="n"/>
      <c r="E1" s="170" t="n"/>
      <c r="F1" s="170" t="n"/>
      <c r="G1" s="170" t="n"/>
      <c r="H1" s="170" t="n"/>
      <c r="I1" s="170" t="n"/>
      <c r="J1" s="170" t="n"/>
      <c r="K1" s="170" t="n"/>
      <c r="L1" s="170" t="n"/>
      <c r="M1" s="170" t="n"/>
      <c r="N1" s="170" t="n"/>
      <c r="O1" s="170" t="n"/>
      <c r="P1" s="228" t="n"/>
      <c r="Q1" s="171" t="n"/>
      <c r="R1" s="172" t="n"/>
    </row>
    <row r="2">
      <c r="A2" s="193" t="inlineStr">
        <is>
          <t>Tipo</t>
        </is>
      </c>
      <c r="B2" s="193" t="inlineStr">
        <is>
          <t xml:space="preserve">Modelos </t>
        </is>
      </c>
      <c r="C2" s="193" t="inlineStr">
        <is>
          <t>Tag</t>
        </is>
      </c>
      <c r="D2" s="193" t="inlineStr">
        <is>
          <t>Locadora</t>
        </is>
      </c>
      <c r="E2" s="193" t="inlineStr">
        <is>
          <t>Localidade</t>
        </is>
      </c>
      <c r="F2" s="193" t="inlineStr">
        <is>
          <t>Placa</t>
        </is>
      </c>
      <c r="G2" s="193" t="inlineStr">
        <is>
          <t>SSO</t>
        </is>
      </c>
      <c r="H2" s="193" t="inlineStr">
        <is>
          <t>Condutores</t>
        </is>
      </c>
      <c r="I2" s="193" t="inlineStr">
        <is>
          <t>SEMANA S1</t>
        </is>
      </c>
      <c r="J2" s="193" t="inlineStr">
        <is>
          <t>KM INICIAL</t>
        </is>
      </c>
      <c r="K2" s="216" t="inlineStr">
        <is>
          <t>S1</t>
        </is>
      </c>
      <c r="L2" s="216" t="inlineStr">
        <is>
          <t>S2</t>
        </is>
      </c>
      <c r="M2" s="216" t="inlineStr">
        <is>
          <t>S3</t>
        </is>
      </c>
      <c r="N2" s="216" t="inlineStr">
        <is>
          <t>S4</t>
        </is>
      </c>
      <c r="O2" s="216" t="inlineStr">
        <is>
          <t>S5</t>
        </is>
      </c>
      <c r="P2" s="236" t="inlineStr">
        <is>
          <t>ULTIMA LAVAGEM</t>
        </is>
      </c>
      <c r="Q2" s="261" t="inlineStr">
        <is>
          <t>STATUS DA LAVAGEM</t>
        </is>
      </c>
      <c r="R2" s="216" t="inlineStr">
        <is>
          <t>PROX. LAVAGEM</t>
        </is>
      </c>
    </row>
    <row r="3">
      <c r="A3" s="198" t="inlineStr">
        <is>
          <t>Leve</t>
        </is>
      </c>
      <c r="B3" s="198" t="inlineStr">
        <is>
          <t>Nivus</t>
        </is>
      </c>
      <c r="C3" s="238" t="inlineStr">
        <is>
          <t>TN 01</t>
        </is>
      </c>
      <c r="D3" s="198" t="inlineStr">
        <is>
          <t>Localiza</t>
        </is>
      </c>
      <c r="E3" s="198" t="inlineStr">
        <is>
          <t>VALE</t>
        </is>
      </c>
      <c r="F3" s="198" t="inlineStr">
        <is>
          <t>FQQ8B72</t>
        </is>
      </c>
      <c r="G3" s="198" t="inlineStr">
        <is>
          <t>CARAJÁS</t>
        </is>
      </c>
      <c r="H3" s="199" t="inlineStr">
        <is>
          <t xml:space="preserve">Samuel </t>
        </is>
      </c>
      <c r="I3" s="244" t="n">
        <v>46059</v>
      </c>
      <c r="J3" s="207" t="n">
        <v>37122</v>
      </c>
      <c r="K3" s="237" t="n">
        <v>37449</v>
      </c>
      <c r="L3" s="237" t="n">
        <v>37592</v>
      </c>
      <c r="M3" s="207" t="n">
        <v>37793</v>
      </c>
      <c r="N3" s="207" t="n"/>
      <c r="O3" s="207" t="n"/>
      <c r="P3" s="242" t="inlineStr">
        <is>
          <t>13.02.2026</t>
        </is>
      </c>
      <c r="Q3" s="260" t="inlineStr">
        <is>
          <t>EM DIA</t>
        </is>
      </c>
      <c r="R3" s="229" t="inlineStr">
        <is>
          <t>23.02.2026</t>
        </is>
      </c>
    </row>
    <row r="4" customFormat="1" s="19">
      <c r="A4" s="235" t="inlineStr">
        <is>
          <t>Caminhonete</t>
        </is>
      </c>
      <c r="B4" s="235" t="inlineStr">
        <is>
          <t>Hillux</t>
        </is>
      </c>
      <c r="C4" s="238" t="inlineStr">
        <is>
          <t>TN 03</t>
        </is>
      </c>
      <c r="D4" s="235" t="inlineStr">
        <is>
          <t>SINAL</t>
        </is>
      </c>
      <c r="E4" s="235" t="inlineStr">
        <is>
          <t>VALE</t>
        </is>
      </c>
      <c r="F4" s="267" t="inlineStr">
        <is>
          <t>TCD7H75</t>
        </is>
      </c>
      <c r="G4" s="238" t="inlineStr">
        <is>
          <t>CARAJÁS</t>
        </is>
      </c>
      <c r="H4" s="245" t="inlineStr">
        <is>
          <t>RAMIRO</t>
        </is>
      </c>
      <c r="I4" s="268" t="n">
        <v>46059</v>
      </c>
      <c r="J4" s="234" t="n">
        <v>34615</v>
      </c>
      <c r="K4" s="237" t="n">
        <v>35315</v>
      </c>
      <c r="L4" s="237" t="n">
        <v>36067</v>
      </c>
      <c r="M4" s="234" t="n">
        <v>37118</v>
      </c>
      <c r="N4" s="234" t="n"/>
      <c r="O4" s="234" t="n"/>
      <c r="P4" s="269" t="inlineStr">
        <is>
          <t>28.02.2025</t>
        </is>
      </c>
      <c r="Q4" s="270" t="inlineStr">
        <is>
          <t>EM DIA</t>
        </is>
      </c>
      <c r="R4" s="241" t="inlineStr">
        <is>
          <t>09.02.2026</t>
        </is>
      </c>
    </row>
    <row r="5" customFormat="1" s="19">
      <c r="A5" s="235" t="inlineStr">
        <is>
          <t>Caminhonete</t>
        </is>
      </c>
      <c r="B5" s="235" t="inlineStr">
        <is>
          <t>HILLUX</t>
        </is>
      </c>
      <c r="C5" s="235" t="inlineStr">
        <is>
          <t>TN 04</t>
        </is>
      </c>
      <c r="D5" s="235" t="inlineStr">
        <is>
          <t>SINAL</t>
        </is>
      </c>
      <c r="E5" s="235" t="inlineStr">
        <is>
          <t>VALE</t>
        </is>
      </c>
      <c r="F5" s="267" t="inlineStr">
        <is>
          <t>TDM2E37</t>
        </is>
      </c>
      <c r="G5" s="235" t="inlineStr">
        <is>
          <t>CARAJÁS</t>
        </is>
      </c>
      <c r="H5" s="245" t="inlineStr">
        <is>
          <t>Leno</t>
        </is>
      </c>
      <c r="I5" s="268" t="n">
        <v>46059</v>
      </c>
      <c r="J5" s="234" t="n">
        <v>28821</v>
      </c>
      <c r="K5" s="234" t="n">
        <v>29581</v>
      </c>
      <c r="L5" s="234" t="n">
        <v>30478</v>
      </c>
      <c r="M5" s="234" t="n">
        <v>31444</v>
      </c>
      <c r="N5" s="234" t="n"/>
      <c r="O5" s="234" t="n"/>
      <c r="P5" s="269" t="inlineStr">
        <is>
          <t>16.02.2026</t>
        </is>
      </c>
      <c r="Q5" s="270" t="inlineStr">
        <is>
          <t>EM DIA</t>
        </is>
      </c>
      <c r="R5" s="269" t="inlineStr">
        <is>
          <t>08.02.2026</t>
        </is>
      </c>
    </row>
    <row r="6" customFormat="1" s="19">
      <c r="A6" s="238" t="inlineStr">
        <is>
          <t>Caminhonete</t>
        </is>
      </c>
      <c r="B6" s="238" t="inlineStr">
        <is>
          <t>CHEVROLET S10</t>
        </is>
      </c>
      <c r="C6" s="238" t="inlineStr">
        <is>
          <t>TN 29</t>
        </is>
      </c>
      <c r="D6" s="238" t="inlineStr">
        <is>
          <t>SONDA</t>
        </is>
      </c>
      <c r="E6" s="238" t="inlineStr">
        <is>
          <t>SONDA</t>
        </is>
      </c>
      <c r="F6" s="271" t="inlineStr">
        <is>
          <t>SHX8B70</t>
        </is>
      </c>
      <c r="G6" s="238" t="inlineStr">
        <is>
          <t>CARAJÁS</t>
        </is>
      </c>
      <c r="H6" s="266" t="inlineStr">
        <is>
          <t>Mobilização</t>
        </is>
      </c>
      <c r="I6" s="268" t="n"/>
      <c r="J6" s="272" t="n"/>
      <c r="K6" s="234" t="n"/>
      <c r="L6" s="234" t="inlineStr">
        <is>
          <t>Mobilização</t>
        </is>
      </c>
      <c r="M6" s="234" t="n"/>
      <c r="N6" s="234" t="n"/>
      <c r="O6" s="234" t="n"/>
      <c r="P6" s="269" t="n"/>
      <c r="Q6" s="273" t="inlineStr">
        <is>
          <t>DESMOBILIZADA</t>
        </is>
      </c>
      <c r="R6" s="269" t="n"/>
    </row>
    <row r="7" customFormat="1" s="19">
      <c r="A7" s="235" t="inlineStr">
        <is>
          <t>Caminhonete</t>
        </is>
      </c>
      <c r="B7" s="235" t="inlineStr">
        <is>
          <t>Hillux</t>
        </is>
      </c>
      <c r="C7" s="238" t="inlineStr">
        <is>
          <t>TN 31</t>
        </is>
      </c>
      <c r="D7" s="235" t="inlineStr">
        <is>
          <t>SINAL</t>
        </is>
      </c>
      <c r="E7" s="235" t="inlineStr">
        <is>
          <t>VALE</t>
        </is>
      </c>
      <c r="F7" s="267" t="inlineStr">
        <is>
          <t>TCD7I68</t>
        </is>
      </c>
      <c r="G7" s="238" t="inlineStr">
        <is>
          <t>CARAJÁS</t>
        </is>
      </c>
      <c r="H7" s="245" t="inlineStr">
        <is>
          <t xml:space="preserve">Waldecyr </t>
        </is>
      </c>
      <c r="I7" s="268" t="n">
        <v>46059</v>
      </c>
      <c r="J7" s="234" t="n">
        <v>31278</v>
      </c>
      <c r="K7" s="234" t="n">
        <v>31465</v>
      </c>
      <c r="L7" s="234" t="n">
        <v>31525</v>
      </c>
      <c r="M7" s="234" t="n">
        <v>31929</v>
      </c>
      <c r="N7" s="234" t="n"/>
      <c r="O7" s="234" t="n"/>
      <c r="P7" s="269" t="inlineStr">
        <is>
          <t>21.02.2026</t>
        </is>
      </c>
      <c r="Q7" s="270" t="inlineStr">
        <is>
          <t>EM DIA</t>
        </is>
      </c>
      <c r="R7" s="241" t="inlineStr">
        <is>
          <t>13.02.2026</t>
        </is>
      </c>
    </row>
    <row r="8" customFormat="1" s="19">
      <c r="A8" s="235" t="inlineStr">
        <is>
          <t>Caminhonete</t>
        </is>
      </c>
      <c r="B8" s="235" t="inlineStr">
        <is>
          <t xml:space="preserve">FORD RANGER </t>
        </is>
      </c>
      <c r="C8" s="235" t="inlineStr">
        <is>
          <t>TN 72</t>
        </is>
      </c>
      <c r="D8" s="235" t="inlineStr">
        <is>
          <t>SINAL</t>
        </is>
      </c>
      <c r="E8" s="235" t="inlineStr">
        <is>
          <t>SONDA</t>
        </is>
      </c>
      <c r="F8" s="267" t="inlineStr">
        <is>
          <t>FXD9A18</t>
        </is>
      </c>
      <c r="G8" s="238" t="inlineStr">
        <is>
          <t>CARAJÁS</t>
        </is>
      </c>
      <c r="H8" s="245" t="inlineStr">
        <is>
          <t>ROSIVALDO CORREA</t>
        </is>
      </c>
      <c r="I8" s="268" t="n">
        <v>46059</v>
      </c>
      <c r="J8" s="234" t="n"/>
      <c r="K8" s="234" t="n">
        <v>120958</v>
      </c>
      <c r="L8" s="234" t="n">
        <v>121342</v>
      </c>
      <c r="M8" s="234" t="inlineStr">
        <is>
          <t>Manutenção</t>
        </is>
      </c>
      <c r="N8" s="234" t="n"/>
      <c r="O8" s="234" t="n"/>
      <c r="P8" s="241" t="inlineStr">
        <is>
          <t>13.01.2025</t>
        </is>
      </c>
      <c r="Q8" s="270" t="inlineStr">
        <is>
          <t>EM DIA</t>
        </is>
      </c>
      <c r="R8" s="241" t="inlineStr">
        <is>
          <t>30.01.2026</t>
        </is>
      </c>
    </row>
    <row r="9" customFormat="1" s="19">
      <c r="A9" s="238" t="inlineStr">
        <is>
          <t>Caminhonete</t>
        </is>
      </c>
      <c r="B9" s="238" t="inlineStr">
        <is>
          <t>Strada</t>
        </is>
      </c>
      <c r="C9" s="238" t="inlineStr">
        <is>
          <t>TN 73</t>
        </is>
      </c>
      <c r="D9" s="238" t="inlineStr">
        <is>
          <t>Localiza</t>
        </is>
      </c>
      <c r="E9" s="235" t="inlineStr">
        <is>
          <t>VALE</t>
        </is>
      </c>
      <c r="F9" s="271" t="inlineStr">
        <is>
          <t>TXX4C32</t>
        </is>
      </c>
      <c r="G9" s="238" t="inlineStr">
        <is>
          <t>CARAJÁS</t>
        </is>
      </c>
      <c r="H9" s="248" t="inlineStr">
        <is>
          <t>Erik</t>
        </is>
      </c>
      <c r="I9" s="268" t="n">
        <v>46059</v>
      </c>
      <c r="J9" s="234" t="n">
        <v>444</v>
      </c>
      <c r="K9" s="234" t="n">
        <v>858</v>
      </c>
      <c r="L9" s="234" t="n">
        <v>1034</v>
      </c>
      <c r="M9" s="234" t="n">
        <v>1888</v>
      </c>
      <c r="N9" s="234" t="n"/>
      <c r="O9" s="234" t="n"/>
      <c r="P9" s="274" t="inlineStr">
        <is>
          <t>12.02.2026</t>
        </is>
      </c>
      <c r="Q9" s="270" t="inlineStr">
        <is>
          <t>EM DIA</t>
        </is>
      </c>
      <c r="R9" s="274" t="inlineStr">
        <is>
          <t>12.02.2026</t>
        </is>
      </c>
    </row>
    <row r="10" customFormat="1" s="19">
      <c r="A10" s="235" t="inlineStr">
        <is>
          <t>Caminhonete</t>
        </is>
      </c>
      <c r="B10" s="235" t="inlineStr">
        <is>
          <t>Hillux</t>
        </is>
      </c>
      <c r="C10" s="238" t="inlineStr">
        <is>
          <t>TN 74</t>
        </is>
      </c>
      <c r="D10" s="235" t="inlineStr">
        <is>
          <t>SINAL</t>
        </is>
      </c>
      <c r="E10" s="235" t="inlineStr">
        <is>
          <t>VALE</t>
        </is>
      </c>
      <c r="F10" s="267" t="inlineStr">
        <is>
          <t>RDM2E33</t>
        </is>
      </c>
      <c r="G10" s="235" t="inlineStr">
        <is>
          <t>CARAJÁS</t>
        </is>
      </c>
      <c r="H10" s="245" t="inlineStr">
        <is>
          <t>Ediney</t>
        </is>
      </c>
      <c r="I10" s="268" t="n">
        <v>46059</v>
      </c>
      <c r="J10" s="234" t="n"/>
      <c r="K10" s="234" t="n">
        <v>31287</v>
      </c>
      <c r="L10" s="234" t="inlineStr">
        <is>
          <t xml:space="preserve">Manutenção </t>
        </is>
      </c>
      <c r="M10" s="234" t="n">
        <v>32276</v>
      </c>
      <c r="N10" s="234" t="n"/>
      <c r="O10" s="234" t="n"/>
      <c r="P10" s="269" t="inlineStr">
        <is>
          <t>10.01.2026</t>
        </is>
      </c>
      <c r="Q10" s="270" t="inlineStr">
        <is>
          <t>EM DIA</t>
        </is>
      </c>
      <c r="R10" s="269" t="inlineStr">
        <is>
          <t>13.02.2026</t>
        </is>
      </c>
    </row>
    <row r="11" customFormat="1" s="19">
      <c r="A11" s="275" t="inlineStr">
        <is>
          <t>Caminhonete</t>
        </is>
      </c>
      <c r="B11" s="235" t="inlineStr">
        <is>
          <t>Hillux</t>
        </is>
      </c>
      <c r="C11" s="275" t="inlineStr">
        <is>
          <t>TN 76</t>
        </is>
      </c>
      <c r="D11" s="275" t="inlineStr">
        <is>
          <t>SINAL</t>
        </is>
      </c>
      <c r="E11" s="235" t="inlineStr">
        <is>
          <t>VALE</t>
        </is>
      </c>
      <c r="F11" s="276" t="inlineStr">
        <is>
          <t>TCD7H72</t>
        </is>
      </c>
      <c r="G11" s="275" t="inlineStr">
        <is>
          <t>CARAJÁS</t>
        </is>
      </c>
      <c r="H11" s="246" t="inlineStr">
        <is>
          <t>ROSIVALDO CORREA</t>
        </is>
      </c>
      <c r="I11" s="268" t="n">
        <v>46059</v>
      </c>
      <c r="J11" s="234" t="n">
        <v>28708</v>
      </c>
      <c r="K11" s="234" t="n">
        <v>29625</v>
      </c>
      <c r="L11" s="277" t="n">
        <v>30050</v>
      </c>
      <c r="M11" s="234" t="n">
        <v>30312</v>
      </c>
      <c r="N11" s="234" t="n"/>
      <c r="O11" s="234" t="n"/>
      <c r="P11" s="269" t="inlineStr">
        <is>
          <t>30.01.2026</t>
        </is>
      </c>
      <c r="Q11" s="270" t="inlineStr">
        <is>
          <t xml:space="preserve">EM DIA </t>
        </is>
      </c>
      <c r="R11" s="241" t="inlineStr">
        <is>
          <t>07.02.2026</t>
        </is>
      </c>
    </row>
    <row r="12" customFormat="1" s="19">
      <c r="A12" s="247" t="inlineStr">
        <is>
          <t>Caminhonete</t>
        </is>
      </c>
      <c r="B12" s="278" t="inlineStr">
        <is>
          <t xml:space="preserve">FORD RANGER </t>
        </is>
      </c>
      <c r="C12" s="278" t="inlineStr">
        <is>
          <t>TN 78</t>
        </is>
      </c>
      <c r="D12" s="247" t="inlineStr">
        <is>
          <t>SONDA</t>
        </is>
      </c>
      <c r="E12" s="247" t="inlineStr">
        <is>
          <t>SONDA</t>
        </is>
      </c>
      <c r="F12" s="279" t="inlineStr">
        <is>
          <t xml:space="preserve">FZY4F28 </t>
        </is>
      </c>
      <c r="G12" s="247" t="inlineStr">
        <is>
          <t>CARAJÁS</t>
        </is>
      </c>
      <c r="H12" s="247" t="inlineStr">
        <is>
          <t>Jeanderson</t>
        </is>
      </c>
      <c r="I12" s="268" t="n">
        <v>46059</v>
      </c>
      <c r="J12" s="234" t="n">
        <v>124079</v>
      </c>
      <c r="K12" s="234" t="n">
        <v>125056</v>
      </c>
      <c r="L12" s="234" t="n">
        <v>125429</v>
      </c>
      <c r="M12" s="234" t="n">
        <v>126281</v>
      </c>
      <c r="N12" s="234" t="n"/>
      <c r="O12" s="234" t="n"/>
      <c r="P12" s="241" t="inlineStr">
        <is>
          <t>02.02.2026</t>
        </is>
      </c>
      <c r="Q12" s="270" t="inlineStr">
        <is>
          <t xml:space="preserve">EM DIA </t>
        </is>
      </c>
      <c r="R12" s="241" t="inlineStr">
        <is>
          <t>09.02.2026</t>
        </is>
      </c>
    </row>
    <row r="13"/>
    <row r="14">
      <c r="A14" s="169" t="inlineStr">
        <is>
          <t xml:space="preserve">Veículos Cadastrados </t>
        </is>
      </c>
      <c r="B14" s="170" t="n"/>
      <c r="C14" s="170" t="n"/>
      <c r="D14" s="170" t="n"/>
      <c r="E14" s="170" t="n"/>
      <c r="F14" s="255" t="n"/>
      <c r="G14" s="170" t="n"/>
      <c r="H14" s="170" t="n"/>
      <c r="I14" s="170" t="n"/>
      <c r="J14" s="170" t="n"/>
      <c r="K14" s="170" t="n"/>
      <c r="L14" s="170" t="n"/>
      <c r="M14" s="170" t="n"/>
      <c r="N14" s="170" t="n"/>
      <c r="O14" s="170" t="n"/>
      <c r="P14" s="228" t="n"/>
      <c r="Q14" s="171" t="n"/>
      <c r="R14" s="172" t="n"/>
    </row>
    <row r="15" hidden="1">
      <c r="A15" s="193" t="inlineStr">
        <is>
          <t>Tipo</t>
        </is>
      </c>
      <c r="B15" s="193" t="inlineStr">
        <is>
          <t xml:space="preserve">Modelos </t>
        </is>
      </c>
      <c r="C15" s="193" t="inlineStr">
        <is>
          <t>Tag</t>
        </is>
      </c>
      <c r="D15" s="193" t="inlineStr">
        <is>
          <t>Locadora</t>
        </is>
      </c>
      <c r="E15" s="193" t="inlineStr">
        <is>
          <t>Localidade</t>
        </is>
      </c>
      <c r="F15" s="193" t="inlineStr">
        <is>
          <t>Placa</t>
        </is>
      </c>
      <c r="G15" s="193" t="inlineStr">
        <is>
          <t>SSO</t>
        </is>
      </c>
      <c r="H15" s="193" t="inlineStr">
        <is>
          <t>Condutores</t>
        </is>
      </c>
      <c r="I15" s="193" t="inlineStr">
        <is>
          <t>SEMANA 02</t>
        </is>
      </c>
      <c r="J15" s="193" t="inlineStr">
        <is>
          <t>KM TOTAL</t>
        </is>
      </c>
      <c r="K15" s="216" t="inlineStr">
        <is>
          <t>S1</t>
        </is>
      </c>
      <c r="L15" s="216" t="inlineStr">
        <is>
          <t>S2</t>
        </is>
      </c>
      <c r="M15" s="216" t="inlineStr">
        <is>
          <t>S3</t>
        </is>
      </c>
      <c r="N15" s="216" t="inlineStr">
        <is>
          <t>S4</t>
        </is>
      </c>
      <c r="O15" s="216" t="n"/>
      <c r="P15" s="230" t="inlineStr">
        <is>
          <t>ULTIMA LAVAGEM</t>
        </is>
      </c>
      <c r="Q15" s="231" t="inlineStr">
        <is>
          <t xml:space="preserve">LAVAGEM PROGRAMADA </t>
        </is>
      </c>
      <c r="R15" s="232" t="inlineStr">
        <is>
          <t>PROX. LAVAGEM</t>
        </is>
      </c>
    </row>
    <row r="16" hidden="1">
      <c r="A16" s="198" t="inlineStr">
        <is>
          <t>Leve</t>
        </is>
      </c>
      <c r="B16" s="198" t="inlineStr">
        <is>
          <t>Tracker</t>
        </is>
      </c>
      <c r="C16" s="198" t="inlineStr">
        <is>
          <t>TN 01</t>
        </is>
      </c>
      <c r="D16" s="198" t="inlineStr">
        <is>
          <t>Localiza</t>
        </is>
      </c>
      <c r="E16" s="198" t="inlineStr">
        <is>
          <t>CKS</t>
        </is>
      </c>
      <c r="F16" s="198" t="inlineStr">
        <is>
          <t>TCO2C15</t>
        </is>
      </c>
      <c r="G16" s="198" t="inlineStr">
        <is>
          <t>CARAJÁS</t>
        </is>
      </c>
      <c r="H16" s="200" t="inlineStr">
        <is>
          <t>Fabricio Maia</t>
        </is>
      </c>
      <c r="I16" s="161" t="n">
        <v>45912</v>
      </c>
      <c r="J16" s="201">
        <f>SUM(K16:N16)</f>
        <v/>
      </c>
      <c r="K16" s="207">
        <f>K3-$J3</f>
        <v/>
      </c>
      <c r="L16" s="207">
        <f>L3-$J3</f>
        <v/>
      </c>
      <c r="M16" s="207">
        <f>M3-$J3</f>
        <v/>
      </c>
      <c r="N16" s="207">
        <f>N3-$J3</f>
        <v/>
      </c>
      <c r="O16" s="207" t="n"/>
      <c r="P16" s="141" t="n">
        <v>45891</v>
      </c>
      <c r="Q16" s="218" t="n"/>
      <c r="R16" s="98" t="n"/>
    </row>
    <row r="17" hidden="1">
      <c r="A17" s="198" t="inlineStr">
        <is>
          <t>Caminhonete</t>
        </is>
      </c>
      <c r="B17" s="198" t="inlineStr">
        <is>
          <t>Hillux</t>
        </is>
      </c>
      <c r="C17" s="198" t="inlineStr">
        <is>
          <t>TN 03</t>
        </is>
      </c>
      <c r="D17" s="198" t="inlineStr">
        <is>
          <t>SINAL</t>
        </is>
      </c>
      <c r="E17" s="198" t="inlineStr">
        <is>
          <t>CKS</t>
        </is>
      </c>
      <c r="F17" s="198" t="inlineStr">
        <is>
          <t>TCD7H75</t>
        </is>
      </c>
      <c r="G17" s="197" t="inlineStr">
        <is>
          <t>CARAJÁS</t>
        </is>
      </c>
      <c r="H17" s="199" t="inlineStr">
        <is>
          <t>Lucas</t>
        </is>
      </c>
      <c r="I17" s="161" t="n">
        <v>45912</v>
      </c>
      <c r="J17" s="201">
        <f>SUM(K17:N17)</f>
        <v/>
      </c>
      <c r="K17" s="207">
        <f>K4-$J4</f>
        <v/>
      </c>
      <c r="L17" s="207">
        <f>L4-$J4</f>
        <v/>
      </c>
      <c r="M17" s="207">
        <f>M4-$J4</f>
        <v/>
      </c>
      <c r="N17" s="207">
        <f>N4-$J4</f>
        <v/>
      </c>
      <c r="O17" s="207" t="n"/>
      <c r="P17" s="141" t="n">
        <v>45896</v>
      </c>
      <c r="Q17" s="218" t="inlineStr">
        <is>
          <t>pendente</t>
        </is>
      </c>
      <c r="R17" s="99" t="n">
        <v>45921</v>
      </c>
    </row>
    <row r="18" hidden="1">
      <c r="A18" s="198" t="inlineStr">
        <is>
          <t>Caminhonete</t>
        </is>
      </c>
      <c r="B18" s="198" t="inlineStr">
        <is>
          <t>HILLUX</t>
        </is>
      </c>
      <c r="C18" s="198" t="inlineStr">
        <is>
          <t>TN 04</t>
        </is>
      </c>
      <c r="D18" s="198" t="inlineStr">
        <is>
          <t>SINAL</t>
        </is>
      </c>
      <c r="E18" s="198" t="inlineStr">
        <is>
          <t>CKS</t>
        </is>
      </c>
      <c r="F18" s="198" t="inlineStr">
        <is>
          <t>TDM2E37</t>
        </is>
      </c>
      <c r="G18" s="198" t="inlineStr">
        <is>
          <t>CARAJÁS</t>
        </is>
      </c>
      <c r="H18" s="200" t="inlineStr">
        <is>
          <t>MATHEUS</t>
        </is>
      </c>
      <c r="I18" s="161" t="n">
        <v>45912</v>
      </c>
      <c r="J18" s="201">
        <f>SUM(K18:N18)</f>
        <v/>
      </c>
      <c r="K18" s="207">
        <f>K5-$J5</f>
        <v/>
      </c>
      <c r="L18" s="207">
        <f>L5-$J5</f>
        <v/>
      </c>
      <c r="M18" s="207">
        <f>M5-$J5</f>
        <v/>
      </c>
      <c r="N18" s="207">
        <f>N5-$J5</f>
        <v/>
      </c>
      <c r="O18" s="207" t="n"/>
      <c r="P18" s="141" t="n">
        <v>45908</v>
      </c>
      <c r="Q18" s="182" t="inlineStr">
        <is>
          <t>ok</t>
        </is>
      </c>
      <c r="R18" s="99" t="n">
        <v>45919</v>
      </c>
    </row>
    <row r="19" hidden="1">
      <c r="A19" s="197" t="inlineStr">
        <is>
          <t>Caminhonete</t>
        </is>
      </c>
      <c r="B19" s="197" t="inlineStr">
        <is>
          <t>CHEVROLET S10</t>
        </is>
      </c>
      <c r="C19" s="198" t="inlineStr">
        <is>
          <t>TN 29</t>
        </is>
      </c>
      <c r="D19" s="197" t="inlineStr">
        <is>
          <t>Sonda</t>
        </is>
      </c>
      <c r="E19" s="197" t="inlineStr">
        <is>
          <t>CKS</t>
        </is>
      </c>
      <c r="F19" s="197" t="inlineStr">
        <is>
          <t>FXR0F35</t>
        </is>
      </c>
      <c r="G19" s="197" t="inlineStr">
        <is>
          <t>CARAJÁS</t>
        </is>
      </c>
      <c r="H19" s="199" t="inlineStr">
        <is>
          <t>JOÃO TAVARES</t>
        </is>
      </c>
      <c r="I19" s="161" t="n">
        <v>45912</v>
      </c>
      <c r="J19" s="201">
        <f>SUM(K19:N19)</f>
        <v/>
      </c>
      <c r="K19" s="207">
        <f>K6-$J6</f>
        <v/>
      </c>
      <c r="L19" s="207">
        <f>L6-$J6</f>
        <v/>
      </c>
      <c r="M19" s="207">
        <f>M6-$J6</f>
        <v/>
      </c>
      <c r="N19" s="207">
        <f>N6-$J6</f>
        <v/>
      </c>
      <c r="O19" s="207" t="n"/>
      <c r="P19" s="141" t="n">
        <v>45916</v>
      </c>
      <c r="Q19" s="182" t="inlineStr">
        <is>
          <t>ok</t>
        </is>
      </c>
      <c r="R19" s="99" t="n">
        <v>45924</v>
      </c>
    </row>
    <row r="20" hidden="1">
      <c r="A20" s="198" t="inlineStr">
        <is>
          <t>Caminhonete</t>
        </is>
      </c>
      <c r="B20" s="198" t="inlineStr">
        <is>
          <t>Hillux</t>
        </is>
      </c>
      <c r="C20" s="198" t="inlineStr">
        <is>
          <t>TN 31</t>
        </is>
      </c>
      <c r="D20" s="198" t="inlineStr">
        <is>
          <t>SINAL</t>
        </is>
      </c>
      <c r="E20" s="198" t="inlineStr">
        <is>
          <t>CKS</t>
        </is>
      </c>
      <c r="F20" s="198" t="inlineStr">
        <is>
          <t>TCD7I68</t>
        </is>
      </c>
      <c r="G20" s="197" t="inlineStr">
        <is>
          <t>CARAJÁS</t>
        </is>
      </c>
      <c r="H20" s="199" t="inlineStr">
        <is>
          <t>Lucas</t>
        </is>
      </c>
      <c r="I20" s="161" t="n">
        <v>45912</v>
      </c>
      <c r="J20" s="201">
        <f>SUM(K20:N20)</f>
        <v/>
      </c>
      <c r="K20" s="207">
        <f>K7-$J7</f>
        <v/>
      </c>
      <c r="L20" s="207">
        <f>L7-$J7</f>
        <v/>
      </c>
      <c r="M20" s="207">
        <f>M7-$J7</f>
        <v/>
      </c>
      <c r="N20" s="207">
        <f>N7-$J7</f>
        <v/>
      </c>
      <c r="O20" s="207" t="n"/>
      <c r="P20" s="141" t="n">
        <v>45901</v>
      </c>
      <c r="Q20" s="182" t="inlineStr">
        <is>
          <t>pendente</t>
        </is>
      </c>
      <c r="R20" s="99" t="n">
        <v>45920</v>
      </c>
    </row>
    <row r="21" hidden="1">
      <c r="A21" s="198" t="inlineStr">
        <is>
          <t>Caminhonete</t>
        </is>
      </c>
      <c r="B21" s="198" t="inlineStr">
        <is>
          <t xml:space="preserve">FORD RANGER </t>
        </is>
      </c>
      <c r="C21" s="198" t="inlineStr">
        <is>
          <t>TN 72</t>
        </is>
      </c>
      <c r="D21" s="198" t="inlineStr">
        <is>
          <t>Sonda</t>
        </is>
      </c>
      <c r="E21" s="198" t="inlineStr">
        <is>
          <t>CKS</t>
        </is>
      </c>
      <c r="F21" s="198" t="inlineStr">
        <is>
          <t>FXD9A18</t>
        </is>
      </c>
      <c r="G21" s="197" t="inlineStr">
        <is>
          <t>CARAJÁS</t>
        </is>
      </c>
      <c r="H21" s="199" t="inlineStr">
        <is>
          <t>RAIMUNDO CHARLES</t>
        </is>
      </c>
      <c r="I21" s="161" t="n">
        <v>45912</v>
      </c>
      <c r="J21" s="201">
        <f>SUM(K21:N21)</f>
        <v/>
      </c>
      <c r="K21" s="207">
        <f>K8-$J8</f>
        <v/>
      </c>
      <c r="L21" s="207">
        <f>L8-$J8</f>
        <v/>
      </c>
      <c r="M21" s="207">
        <f>M8-$J8</f>
        <v/>
      </c>
      <c r="N21" s="207">
        <f>N8-$J8</f>
        <v/>
      </c>
      <c r="O21" s="207" t="n"/>
      <c r="P21" s="141" t="n">
        <v>45904</v>
      </c>
      <c r="Q21" s="218" t="inlineStr">
        <is>
          <t>pendente</t>
        </is>
      </c>
      <c r="R21" s="99" t="n">
        <v>45926</v>
      </c>
    </row>
    <row r="22" hidden="1">
      <c r="A22" s="197" t="inlineStr">
        <is>
          <t>Caminhonete</t>
        </is>
      </c>
      <c r="B22" s="197" t="inlineStr">
        <is>
          <t>Hillux</t>
        </is>
      </c>
      <c r="C22" s="198" t="inlineStr">
        <is>
          <t>TN 73</t>
        </is>
      </c>
      <c r="D22" s="197" t="inlineStr">
        <is>
          <t>SINAL</t>
        </is>
      </c>
      <c r="E22" s="197" t="inlineStr">
        <is>
          <t>CKS</t>
        </is>
      </c>
      <c r="F22" s="197" t="inlineStr">
        <is>
          <t>TCD7H73</t>
        </is>
      </c>
      <c r="G22" s="197" t="inlineStr">
        <is>
          <t>CARAJÁS</t>
        </is>
      </c>
      <c r="H22" s="199" t="inlineStr">
        <is>
          <t>William</t>
        </is>
      </c>
      <c r="I22" s="161" t="n">
        <v>45912</v>
      </c>
      <c r="J22" s="201">
        <f>SUM(K22:N22)</f>
        <v/>
      </c>
      <c r="K22" s="207">
        <f>K9-$J9</f>
        <v/>
      </c>
      <c r="L22" s="207">
        <f>L9-$J9</f>
        <v/>
      </c>
      <c r="M22" s="207">
        <f>M9-$J9</f>
        <v/>
      </c>
      <c r="N22" s="207">
        <f>N9-$J9</f>
        <v/>
      </c>
      <c r="O22" s="251" t="n"/>
      <c r="P22" s="59" t="n">
        <v>45905</v>
      </c>
      <c r="Q22" s="184" t="inlineStr">
        <is>
          <t>pendente</t>
        </is>
      </c>
      <c r="R22" s="99" t="n">
        <v>45924</v>
      </c>
    </row>
    <row r="23" hidden="1">
      <c r="A23" s="198" t="inlineStr">
        <is>
          <t>Caminhonete</t>
        </is>
      </c>
      <c r="B23" s="198" t="inlineStr">
        <is>
          <t>Ranger</t>
        </is>
      </c>
      <c r="C23" s="198" t="inlineStr">
        <is>
          <t>TN 74</t>
        </is>
      </c>
      <c r="D23" s="198" t="inlineStr">
        <is>
          <t>SONDA</t>
        </is>
      </c>
      <c r="E23" s="198" t="inlineStr">
        <is>
          <t>CKS</t>
        </is>
      </c>
      <c r="F23" s="198" t="inlineStr">
        <is>
          <t>RDM2E33</t>
        </is>
      </c>
      <c r="G23" s="198" t="inlineStr">
        <is>
          <t>CARAJÁS</t>
        </is>
      </c>
      <c r="H23" s="200" t="inlineStr">
        <is>
          <t>Ederson</t>
        </is>
      </c>
      <c r="I23" s="161" t="n">
        <v>45912</v>
      </c>
      <c r="J23" s="201">
        <f>SUM(K23:N23)</f>
        <v/>
      </c>
      <c r="K23" s="207">
        <f>K10-$J10</f>
        <v/>
      </c>
      <c r="L23" s="207">
        <f>L10-$J10</f>
        <v/>
      </c>
      <c r="M23" s="207">
        <f>M10-$J10</f>
        <v/>
      </c>
      <c r="N23" s="207">
        <f>N10-$J10</f>
        <v/>
      </c>
      <c r="O23" s="207" t="n"/>
      <c r="P23" s="141" t="n">
        <v>45918</v>
      </c>
      <c r="Q23" s="184" t="inlineStr">
        <is>
          <t>ok</t>
        </is>
      </c>
      <c r="R23" s="99" t="n">
        <v>45923</v>
      </c>
    </row>
    <row r="24" hidden="1">
      <c r="A24" s="209" t="inlineStr">
        <is>
          <t>Caminhonete</t>
        </is>
      </c>
      <c r="B24" s="209" t="inlineStr">
        <is>
          <t>NISSAN FRONTIER</t>
        </is>
      </c>
      <c r="C24" s="209" t="inlineStr">
        <is>
          <t>TN 76</t>
        </is>
      </c>
      <c r="D24" s="209" t="inlineStr">
        <is>
          <t>SINAL</t>
        </is>
      </c>
      <c r="E24" s="209" t="inlineStr">
        <is>
          <t>CKS</t>
        </is>
      </c>
      <c r="F24" s="209" t="inlineStr">
        <is>
          <t>TCD7H72</t>
        </is>
      </c>
      <c r="G24" s="209" t="inlineStr">
        <is>
          <t>CARAJÁS</t>
        </is>
      </c>
      <c r="H24" s="217" t="inlineStr">
        <is>
          <t>Renan</t>
        </is>
      </c>
      <c r="I24" s="161" t="n">
        <v>45912</v>
      </c>
      <c r="J24" s="201">
        <f>SUM(K24:N24)</f>
        <v/>
      </c>
      <c r="K24" s="207">
        <f>K11-$J11</f>
        <v/>
      </c>
      <c r="L24" s="207">
        <f>L11-$J11</f>
        <v/>
      </c>
      <c r="M24" s="207">
        <f>M11-$J11</f>
        <v/>
      </c>
      <c r="N24" s="207">
        <f>N11-$J11</f>
        <v/>
      </c>
      <c r="O24" s="207" t="n"/>
      <c r="P24" s="141" t="n">
        <v>45901</v>
      </c>
      <c r="Q24" s="184" t="inlineStr">
        <is>
          <t>pendente</t>
        </is>
      </c>
      <c r="R24" s="99" t="n">
        <v>45922</v>
      </c>
    </row>
    <row r="25" hidden="1">
      <c r="A25" s="202" t="inlineStr">
        <is>
          <t>Caminhonete</t>
        </is>
      </c>
      <c r="B25" s="204" t="inlineStr">
        <is>
          <t>NISSAN FRONTIER</t>
        </is>
      </c>
      <c r="C25" s="204" t="inlineStr">
        <is>
          <t>TN78</t>
        </is>
      </c>
      <c r="D25" s="202" t="inlineStr">
        <is>
          <t>SONDA</t>
        </is>
      </c>
      <c r="E25" s="202" t="inlineStr">
        <is>
          <t>CKS</t>
        </is>
      </c>
      <c r="F25" s="202" t="inlineStr">
        <is>
          <t xml:space="preserve">FZY4F28 </t>
        </is>
      </c>
      <c r="G25" s="202" t="inlineStr">
        <is>
          <t>CARAJÁS</t>
        </is>
      </c>
      <c r="H25" s="202" t="inlineStr">
        <is>
          <t>Ederson</t>
        </is>
      </c>
      <c r="I25" s="161" t="n">
        <v>45912</v>
      </c>
      <c r="J25" s="201">
        <f>SUM(K25:N25)</f>
        <v/>
      </c>
      <c r="K25" s="207">
        <f>K12-$J12</f>
        <v/>
      </c>
      <c r="L25" s="207">
        <f>L12-$J12</f>
        <v/>
      </c>
      <c r="M25" s="207">
        <f>M12-$J12</f>
        <v/>
      </c>
      <c r="N25" s="207">
        <f>N12-$J12</f>
        <v/>
      </c>
      <c r="O25" s="207" t="n"/>
      <c r="P25" s="141" t="n">
        <v>45905</v>
      </c>
      <c r="Q25" s="184" t="inlineStr">
        <is>
          <t>pendente</t>
        </is>
      </c>
      <c r="R25" s="99" t="n">
        <v>45922</v>
      </c>
    </row>
    <row r="26" ht="14.95" customHeight="1" thickBot="1"/>
    <row r="27" ht="28.55" customHeight="1">
      <c r="A27" s="319" t="inlineStr">
        <is>
          <t>ACOMPANHAMENTO KM SEMANA</t>
        </is>
      </c>
      <c r="B27" s="328" t="n"/>
      <c r="C27" s="328" t="n"/>
      <c r="D27" s="328" t="n"/>
      <c r="E27" s="328" t="n"/>
      <c r="F27" s="226" t="n"/>
      <c r="G27" s="250" t="inlineStr">
        <is>
          <t>ULTIMA LAVAGEM</t>
        </is>
      </c>
      <c r="H27" s="259" t="inlineStr">
        <is>
          <t>Proxima Lavagem</t>
        </is>
      </c>
    </row>
    <row r="28" ht="14.95" customHeight="1" thickBot="1">
      <c r="A28" s="227" t="inlineStr">
        <is>
          <t>TAG</t>
        </is>
      </c>
      <c r="B28" s="222" t="inlineStr">
        <is>
          <t>S1</t>
        </is>
      </c>
      <c r="C28" s="222" t="inlineStr">
        <is>
          <t>S2</t>
        </is>
      </c>
      <c r="D28" s="222" t="inlineStr">
        <is>
          <t>S3</t>
        </is>
      </c>
      <c r="E28" s="223" t="inlineStr">
        <is>
          <t>S4</t>
        </is>
      </c>
      <c r="F28" s="223" t="inlineStr">
        <is>
          <t>S5</t>
        </is>
      </c>
      <c r="G28" s="224" t="inlineStr">
        <is>
          <t>ACUM.</t>
        </is>
      </c>
      <c r="H28" s="225" t="n"/>
      <c r="Q28" s="229" t="n"/>
    </row>
    <row r="29" ht="14.95" customHeight="1" thickBot="1">
      <c r="A29" s="252" t="inlineStr">
        <is>
          <t>TN 01</t>
        </is>
      </c>
      <c r="B29" s="253" t="n">
        <v>327</v>
      </c>
      <c r="C29" s="254" t="n">
        <v>143</v>
      </c>
      <c r="D29" s="254" t="n">
        <v>201</v>
      </c>
      <c r="E29" s="254" t="n"/>
      <c r="F29" s="254" t="n"/>
      <c r="G29" s="257" t="n">
        <v>671</v>
      </c>
      <c r="H29" s="239">
        <f>R3</f>
        <v/>
      </c>
      <c r="Q29" s="229" t="n"/>
    </row>
    <row r="30" ht="14.95" customHeight="1" thickBot="1">
      <c r="A30" s="219" t="inlineStr">
        <is>
          <t>TN 03</t>
        </is>
      </c>
      <c r="B30" s="253" t="n">
        <v>700</v>
      </c>
      <c r="C30" s="254" t="n">
        <v>752</v>
      </c>
      <c r="D30" s="254" t="n">
        <v>1051</v>
      </c>
      <c r="E30" s="254" t="n"/>
      <c r="F30" s="254" t="n"/>
      <c r="G30" s="257" t="n">
        <v>2503</v>
      </c>
      <c r="H30" s="239">
        <f>R4</f>
        <v/>
      </c>
      <c r="Q30" s="229" t="n"/>
    </row>
    <row r="31" ht="14.95" customHeight="1" thickBot="1">
      <c r="A31" s="219" t="inlineStr">
        <is>
          <t>TN 04</t>
        </is>
      </c>
      <c r="B31" s="253" t="n">
        <v>760</v>
      </c>
      <c r="C31" s="254" t="n">
        <v>897</v>
      </c>
      <c r="D31" s="254" t="n">
        <v>966</v>
      </c>
      <c r="E31" s="254" t="n"/>
      <c r="F31" s="254" t="n"/>
      <c r="G31" s="257" t="n">
        <v>2623</v>
      </c>
      <c r="H31" s="239">
        <f>R5</f>
        <v/>
      </c>
      <c r="Q31" s="229" t="n"/>
    </row>
    <row r="32" ht="14.95" customHeight="1" thickBot="1">
      <c r="A32" s="219" t="inlineStr">
        <is>
          <t>TN 29</t>
        </is>
      </c>
      <c r="B32" s="253" t="n"/>
      <c r="C32" s="254" t="n"/>
      <c r="D32" s="254" t="n"/>
      <c r="E32" s="254" t="n"/>
      <c r="F32" s="254" t="n"/>
      <c r="G32" s="257" t="n"/>
      <c r="H32" s="239">
        <f>R6</f>
        <v/>
      </c>
      <c r="Q32" s="229" t="n"/>
    </row>
    <row r="33" ht="14.95" customHeight="1" thickBot="1">
      <c r="A33" s="219" t="inlineStr">
        <is>
          <t>TN 31</t>
        </is>
      </c>
      <c r="B33" s="253" t="n">
        <v>187</v>
      </c>
      <c r="C33" s="254" t="n">
        <v>60</v>
      </c>
      <c r="D33" s="254" t="n">
        <v>404</v>
      </c>
      <c r="E33" s="254" t="n"/>
      <c r="F33" s="254" t="n"/>
      <c r="G33" s="257" t="n">
        <v>651</v>
      </c>
      <c r="H33" s="239">
        <f>R7</f>
        <v/>
      </c>
      <c r="Q33" s="229" t="n"/>
    </row>
    <row r="34" ht="14.95" customHeight="1" thickBot="1">
      <c r="A34" s="219" t="inlineStr">
        <is>
          <t>TN 72</t>
        </is>
      </c>
      <c r="B34" s="253" t="n"/>
      <c r="C34" s="254" t="n">
        <v>384</v>
      </c>
      <c r="D34" s="254" t="n"/>
      <c r="E34" s="254" t="n"/>
      <c r="F34" s="254" t="n"/>
      <c r="G34" s="257" t="n">
        <v>384</v>
      </c>
      <c r="H34" s="239">
        <f>R8</f>
        <v/>
      </c>
      <c r="Q34" s="229" t="n"/>
    </row>
    <row r="35" ht="14.95" customHeight="1" thickBot="1">
      <c r="A35" s="219" t="inlineStr">
        <is>
          <t>TN 73</t>
        </is>
      </c>
      <c r="B35" s="253" t="n">
        <v>414</v>
      </c>
      <c r="C35" s="254" t="n">
        <v>176</v>
      </c>
      <c r="D35" s="254" t="n">
        <v>854</v>
      </c>
      <c r="E35" s="254" t="n"/>
      <c r="F35" s="254" t="n"/>
      <c r="G35" s="257" t="n">
        <v>1444</v>
      </c>
      <c r="H35" s="239">
        <f>R9</f>
        <v/>
      </c>
      <c r="Q35" s="229" t="n"/>
    </row>
    <row r="36" ht="14.95" customHeight="1" thickBot="1">
      <c r="A36" s="219" t="inlineStr">
        <is>
          <t>TN 74</t>
        </is>
      </c>
      <c r="B36" s="253" t="n"/>
      <c r="C36" s="254" t="n"/>
      <c r="D36" s="254" t="n">
        <v>989</v>
      </c>
      <c r="E36" s="254" t="n"/>
      <c r="F36" s="254" t="n"/>
      <c r="G36" s="257" t="n">
        <v>989</v>
      </c>
      <c r="H36" s="239">
        <f>R10</f>
        <v/>
      </c>
      <c r="Q36" s="229" t="n"/>
    </row>
    <row r="37" ht="14.95" customHeight="1" thickBot="1">
      <c r="A37" s="220" t="inlineStr">
        <is>
          <t>TN 76</t>
        </is>
      </c>
      <c r="B37" s="253" t="n">
        <v>917</v>
      </c>
      <c r="C37" s="254" t="n">
        <v>425</v>
      </c>
      <c r="D37" s="254" t="n">
        <v>262</v>
      </c>
      <c r="E37" s="254" t="n"/>
      <c r="F37" s="254" t="n"/>
      <c r="G37" s="257" t="n">
        <v>1604</v>
      </c>
      <c r="H37" s="239">
        <f>R11</f>
        <v/>
      </c>
      <c r="Q37" s="229" t="n"/>
    </row>
    <row r="38" ht="14.95" customHeight="1" thickBot="1">
      <c r="A38" s="221" t="inlineStr">
        <is>
          <t>TN78</t>
        </is>
      </c>
      <c r="B38" s="253" t="n">
        <v>977</v>
      </c>
      <c r="C38" s="254" t="n">
        <v>373</v>
      </c>
      <c r="D38" s="254" t="n">
        <v>852</v>
      </c>
      <c r="E38" s="254" t="n"/>
      <c r="F38" s="254" t="n"/>
      <c r="G38" s="257" t="n">
        <v>2202</v>
      </c>
      <c r="H38" s="239">
        <f>R12</f>
        <v/>
      </c>
      <c r="Q38" s="229" t="n"/>
    </row>
  </sheetData>
  <autoFilter ref="A2:R2">
    <sortState ref="A3:R12">
      <sortCondition ref="C2"/>
    </sortState>
  </autoFilter>
  <mergeCells count="1">
    <mergeCell ref="A27:E27"/>
  </mergeCells>
  <conditionalFormatting sqref="B29:B38 C30:E30 E31:E38 F30:G38">
    <cfRule type="cellIs" priority="16" operator="between" dxfId="8">
      <formula>1</formula>
      <formula>299</formula>
    </cfRule>
    <cfRule type="cellIs" priority="14" operator="greaterThan" dxfId="1">
      <formula>500</formula>
    </cfRule>
    <cfRule type="cellIs" priority="15" operator="between" dxfId="2">
      <formula>300</formula>
      <formula>500</formula>
    </cfRule>
  </conditionalFormatting>
  <conditionalFormatting sqref="B29:G38">
    <cfRule type="cellIs" priority="17" operator="equal">
      <formula>0</formula>
    </cfRule>
  </conditionalFormatting>
  <conditionalFormatting sqref="C29:G38">
    <cfRule type="cellIs" priority="11" operator="between" dxfId="8">
      <formula>1</formula>
      <formula>600</formula>
    </cfRule>
    <cfRule type="cellIs" priority="12" operator="between" dxfId="2">
      <formula>600</formula>
      <formula>1000</formula>
    </cfRule>
    <cfRule type="cellIs" priority="13" operator="greaterThan" dxfId="1">
      <formula>1000</formula>
    </cfRule>
  </conditionalFormatting>
  <conditionalFormatting sqref="D29:G38">
    <cfRule type="cellIs" priority="8" operator="greaterThan" dxfId="1">
      <formula>1501</formula>
    </cfRule>
    <cfRule type="cellIs" priority="9" operator="between" dxfId="8">
      <formula>1</formula>
      <formula>900</formula>
    </cfRule>
    <cfRule type="cellIs" priority="10" operator="between" dxfId="2">
      <formula>900</formula>
      <formula>1500</formula>
    </cfRule>
  </conditionalFormatting>
  <conditionalFormatting sqref="E30:F38">
    <cfRule type="cellIs" priority="7" operator="greaterThan" dxfId="1">
      <formula>2000</formula>
    </cfRule>
  </conditionalFormatting>
  <conditionalFormatting sqref="E30:F38 G29:G38">
    <cfRule type="cellIs" priority="5" operator="between" dxfId="2">
      <formula>1201</formula>
      <formula>2000</formula>
    </cfRule>
    <cfRule type="cellIs" priority="6" operator="between" dxfId="1">
      <formula>1</formula>
      <formula>1200</formula>
    </cfRule>
  </conditionalFormatting>
  <conditionalFormatting sqref="G29:G38">
    <cfRule type="cellIs" priority="1" operator="between" dxfId="2">
      <formula>1500</formula>
      <formula>2000</formula>
    </cfRule>
    <cfRule type="cellIs" priority="2" operator="between" dxfId="2">
      <formula>1200</formula>
      <formula>2000</formula>
    </cfRule>
    <cfRule type="cellIs" priority="3" operator="greaterThan" dxfId="1">
      <formula>2000</formula>
    </cfRule>
  </conditionalFormatting>
  <conditionalFormatting sqref="H29:H38">
    <cfRule type="cellIs" priority="4" operator="lessThan" dxfId="0">
      <formula>$H$28</formula>
    </cfRule>
  </conditionalFormatting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R38"/>
  <sheetViews>
    <sheetView view="pageBreakPreview" topLeftCell="D7" zoomScale="130" zoomScaleNormal="90" zoomScaleSheetLayoutView="130" workbookViewId="0">
      <selection activeCell="L10" sqref="L10"/>
    </sheetView>
  </sheetViews>
  <sheetFormatPr baseColWidth="8" defaultColWidth="9.125" defaultRowHeight="14.3"/>
  <cols>
    <col width="16.125" customWidth="1" min="1" max="1"/>
    <col width="15.625" customWidth="1" min="2" max="5"/>
    <col width="11.125" customWidth="1" min="6" max="6"/>
    <col width="12.875" customWidth="1" min="7" max="7"/>
    <col width="19.5" bestFit="1" customWidth="1" min="8" max="8"/>
    <col width="13.625" bestFit="1" customWidth="1" min="9" max="9"/>
    <col width="11.125" bestFit="1" customWidth="1" min="10" max="10"/>
    <col width="11.125" customWidth="1" min="11" max="13"/>
    <col width="16.375" customWidth="1" min="14" max="15"/>
    <col width="19.875" bestFit="1" customWidth="1" style="229" min="16" max="16"/>
    <col width="26.875" bestFit="1" customWidth="1" min="17" max="17"/>
    <col width="18.375" bestFit="1" customWidth="1" min="18" max="18"/>
  </cols>
  <sheetData>
    <row r="1">
      <c r="A1" s="169" t="inlineStr">
        <is>
          <t xml:space="preserve">Veículos Cadastrados </t>
        </is>
      </c>
      <c r="B1" s="170" t="n"/>
      <c r="C1" s="170" t="n"/>
      <c r="D1" s="170" t="n"/>
      <c r="E1" s="170" t="n"/>
      <c r="F1" s="170" t="n"/>
      <c r="G1" s="170" t="n"/>
      <c r="H1" s="170" t="n"/>
      <c r="I1" s="170" t="n"/>
      <c r="J1" s="170" t="n"/>
      <c r="K1" s="170" t="n"/>
      <c r="L1" s="170" t="n"/>
      <c r="M1" s="170" t="n"/>
      <c r="N1" s="170" t="n"/>
      <c r="O1" s="170" t="n"/>
      <c r="P1" s="228" t="n"/>
      <c r="Q1" s="171" t="n"/>
      <c r="R1" s="172" t="n"/>
    </row>
    <row r="2">
      <c r="A2" s="193" t="inlineStr">
        <is>
          <t>Tipo</t>
        </is>
      </c>
      <c r="B2" s="193" t="inlineStr">
        <is>
          <t xml:space="preserve">Modelos </t>
        </is>
      </c>
      <c r="C2" s="193" t="inlineStr">
        <is>
          <t>Tag</t>
        </is>
      </c>
      <c r="D2" s="193" t="inlineStr">
        <is>
          <t>Locadora</t>
        </is>
      </c>
      <c r="E2" s="193" t="inlineStr">
        <is>
          <t>Localidade</t>
        </is>
      </c>
      <c r="F2" s="193" t="inlineStr">
        <is>
          <t>Placa</t>
        </is>
      </c>
      <c r="G2" s="193" t="inlineStr">
        <is>
          <t>SSO</t>
        </is>
      </c>
      <c r="H2" s="193" t="inlineStr">
        <is>
          <t>Condutores</t>
        </is>
      </c>
      <c r="I2" s="193" t="inlineStr">
        <is>
          <t>SEMANA S1</t>
        </is>
      </c>
      <c r="J2" s="193" t="inlineStr">
        <is>
          <t>KM INICIAL</t>
        </is>
      </c>
      <c r="K2" s="216" t="inlineStr">
        <is>
          <t>S1</t>
        </is>
      </c>
      <c r="L2" s="216" t="inlineStr">
        <is>
          <t>S2</t>
        </is>
      </c>
      <c r="M2" s="216" t="inlineStr">
        <is>
          <t>S3</t>
        </is>
      </c>
      <c r="N2" s="216" t="inlineStr">
        <is>
          <t>S4</t>
        </is>
      </c>
      <c r="O2" s="216" t="inlineStr">
        <is>
          <t>S5</t>
        </is>
      </c>
      <c r="P2" s="236" t="inlineStr">
        <is>
          <t>ULTIMA LAVAGEM</t>
        </is>
      </c>
      <c r="Q2" s="261" t="inlineStr">
        <is>
          <t>STATUS DA LAVAGEM</t>
        </is>
      </c>
      <c r="R2" s="216" t="inlineStr">
        <is>
          <t>PROX. LAVAGEM</t>
        </is>
      </c>
    </row>
    <row r="3">
      <c r="A3" s="198" t="inlineStr">
        <is>
          <t>Leve</t>
        </is>
      </c>
      <c r="B3" s="198" t="inlineStr">
        <is>
          <t>Nivus</t>
        </is>
      </c>
      <c r="C3" s="238" t="inlineStr">
        <is>
          <t>TN 01</t>
        </is>
      </c>
      <c r="D3" s="198" t="inlineStr">
        <is>
          <t>Localiza</t>
        </is>
      </c>
      <c r="E3" s="198" t="inlineStr">
        <is>
          <t>VALE</t>
        </is>
      </c>
      <c r="F3" s="198" t="inlineStr">
        <is>
          <t>FQQ8B72</t>
        </is>
      </c>
      <c r="G3" s="198" t="inlineStr">
        <is>
          <t>CARAJÁS</t>
        </is>
      </c>
      <c r="H3" s="199" t="inlineStr">
        <is>
          <t>Neto</t>
        </is>
      </c>
      <c r="I3" s="244" t="n">
        <v>46087</v>
      </c>
      <c r="J3" s="207" t="n">
        <v>38073</v>
      </c>
      <c r="K3" s="237" t="n">
        <v>38353</v>
      </c>
      <c r="L3" s="237" t="n">
        <v>38637</v>
      </c>
      <c r="M3" s="207" t="n">
        <v>38911</v>
      </c>
      <c r="N3" s="207" t="n"/>
      <c r="O3" s="207" t="n"/>
      <c r="P3" s="242" t="inlineStr">
        <is>
          <t>13.03.2026</t>
        </is>
      </c>
      <c r="Q3" s="260" t="inlineStr">
        <is>
          <t>EM DIA</t>
        </is>
      </c>
      <c r="R3" s="229" t="inlineStr">
        <is>
          <t>20.03.2026</t>
        </is>
      </c>
    </row>
    <row r="4" customFormat="1" s="19">
      <c r="A4" s="235" t="inlineStr">
        <is>
          <t>Caminhonete</t>
        </is>
      </c>
      <c r="B4" s="235" t="inlineStr">
        <is>
          <t>Hillux</t>
        </is>
      </c>
      <c r="C4" s="238" t="inlineStr">
        <is>
          <t>TN 03</t>
        </is>
      </c>
      <c r="D4" s="235" t="inlineStr">
        <is>
          <t>SINAL</t>
        </is>
      </c>
      <c r="E4" s="235" t="inlineStr">
        <is>
          <t>VALE</t>
        </is>
      </c>
      <c r="F4" s="267" t="inlineStr">
        <is>
          <t>TCD7H75</t>
        </is>
      </c>
      <c r="G4" s="238" t="inlineStr">
        <is>
          <t>CARAJÁS</t>
        </is>
      </c>
      <c r="H4" s="245" t="inlineStr">
        <is>
          <t>Adriano</t>
        </is>
      </c>
      <c r="I4" s="244" t="n">
        <v>46087</v>
      </c>
      <c r="J4" s="234" t="n">
        <v>37767</v>
      </c>
      <c r="K4" s="237" t="n">
        <v>38741</v>
      </c>
      <c r="L4" s="237" t="n">
        <v>39361</v>
      </c>
      <c r="M4" s="234" t="inlineStr">
        <is>
          <t>Manutenção</t>
        </is>
      </c>
      <c r="N4" s="234" t="n"/>
      <c r="O4" s="234" t="n"/>
      <c r="P4" s="242" t="inlineStr">
        <is>
          <t>25.03.2026</t>
        </is>
      </c>
      <c r="Q4" s="270" t="inlineStr">
        <is>
          <t>EM DIA</t>
        </is>
      </c>
      <c r="R4" s="241" t="inlineStr">
        <is>
          <t>01.04.2026</t>
        </is>
      </c>
    </row>
    <row r="5" customFormat="1" s="19">
      <c r="A5" s="235" t="inlineStr">
        <is>
          <t>Caminhonete</t>
        </is>
      </c>
      <c r="B5" s="235" t="inlineStr">
        <is>
          <t>HILLUX</t>
        </is>
      </c>
      <c r="C5" s="235" t="inlineStr">
        <is>
          <t>TN 04</t>
        </is>
      </c>
      <c r="D5" s="235" t="inlineStr">
        <is>
          <t>SINAL</t>
        </is>
      </c>
      <c r="E5" s="235" t="inlineStr">
        <is>
          <t>VALE</t>
        </is>
      </c>
      <c r="F5" s="267" t="inlineStr">
        <is>
          <t>TDM2E37</t>
        </is>
      </c>
      <c r="G5" s="235" t="inlineStr">
        <is>
          <t>CARAJÁS</t>
        </is>
      </c>
      <c r="H5" s="245" t="inlineStr">
        <is>
          <t xml:space="preserve">Samuel </t>
        </is>
      </c>
      <c r="I5" s="244" t="n">
        <v>46087</v>
      </c>
      <c r="J5" s="234" t="n">
        <v>32041</v>
      </c>
      <c r="K5" s="234" t="n">
        <v>33062</v>
      </c>
      <c r="L5" s="234" t="n">
        <v>33515</v>
      </c>
      <c r="M5" s="234" t="n">
        <v>33862</v>
      </c>
      <c r="N5" s="234" t="n"/>
      <c r="O5" s="234" t="n"/>
      <c r="P5" s="269" t="inlineStr">
        <is>
          <t>23.03.2026</t>
        </is>
      </c>
      <c r="Q5" s="270" t="inlineStr">
        <is>
          <t>EM DIA</t>
        </is>
      </c>
      <c r="R5" s="269" t="inlineStr">
        <is>
          <t>30.04.2026</t>
        </is>
      </c>
    </row>
    <row r="6" customFormat="1" s="19">
      <c r="A6" s="238" t="inlineStr">
        <is>
          <t>Caminhonete</t>
        </is>
      </c>
      <c r="B6" s="238" t="inlineStr">
        <is>
          <t>CHEVROLET S10</t>
        </is>
      </c>
      <c r="C6" s="238" t="inlineStr">
        <is>
          <t>TN 29</t>
        </is>
      </c>
      <c r="D6" s="238" t="inlineStr">
        <is>
          <t>SONDA</t>
        </is>
      </c>
      <c r="E6" s="238" t="inlineStr">
        <is>
          <t>SONDA</t>
        </is>
      </c>
      <c r="F6" s="271" t="inlineStr">
        <is>
          <t>SHX8B70</t>
        </is>
      </c>
      <c r="G6" s="238" t="inlineStr">
        <is>
          <t>CARAJÁS</t>
        </is>
      </c>
      <c r="H6" s="266" t="inlineStr">
        <is>
          <t>Jeanderson Raul</t>
        </is>
      </c>
      <c r="I6" s="244" t="n">
        <v>46087</v>
      </c>
      <c r="J6" s="280" t="n">
        <v>52422</v>
      </c>
      <c r="K6" s="234" t="n">
        <v>52851</v>
      </c>
      <c r="L6" s="234" t="n">
        <v>53707</v>
      </c>
      <c r="M6" s="234" t="n">
        <v>54501</v>
      </c>
      <c r="N6" s="234" t="n"/>
      <c r="O6" s="234" t="n"/>
      <c r="P6" s="269" t="n"/>
      <c r="Q6" s="270" t="inlineStr">
        <is>
          <t>EM DIA</t>
        </is>
      </c>
      <c r="R6" s="269" t="n"/>
    </row>
    <row r="7" customFormat="1" s="19">
      <c r="A7" s="235" t="inlineStr">
        <is>
          <t>Caminhonete</t>
        </is>
      </c>
      <c r="B7" s="235" t="inlineStr">
        <is>
          <t>Hillux</t>
        </is>
      </c>
      <c r="C7" s="238" t="inlineStr">
        <is>
          <t>TN 31</t>
        </is>
      </c>
      <c r="D7" s="235" t="inlineStr">
        <is>
          <t>SINAL</t>
        </is>
      </c>
      <c r="E7" s="235" t="inlineStr">
        <is>
          <t>VALE</t>
        </is>
      </c>
      <c r="F7" s="267" t="inlineStr">
        <is>
          <t>TCD7I68</t>
        </is>
      </c>
      <c r="G7" s="238" t="inlineStr">
        <is>
          <t>CARAJÁS</t>
        </is>
      </c>
      <c r="H7" s="245" t="inlineStr">
        <is>
          <t>Lucas</t>
        </is>
      </c>
      <c r="I7" s="244" t="n">
        <v>46087</v>
      </c>
      <c r="J7" s="234" t="n">
        <v>32286</v>
      </c>
      <c r="K7" s="234" t="n">
        <v>32730</v>
      </c>
      <c r="L7" s="234" t="n">
        <v>33493</v>
      </c>
      <c r="M7" s="234" t="n">
        <v>34042</v>
      </c>
      <c r="N7" s="234" t="n"/>
      <c r="O7" s="234" t="n"/>
      <c r="P7" s="269" t="inlineStr">
        <is>
          <t>23.03.2026</t>
        </is>
      </c>
      <c r="Q7" s="270" t="inlineStr">
        <is>
          <t>EM DIA</t>
        </is>
      </c>
      <c r="R7" s="241" t="inlineStr">
        <is>
          <t>30.04.2026</t>
        </is>
      </c>
    </row>
    <row r="8" customFormat="1" s="19">
      <c r="A8" s="235" t="inlineStr">
        <is>
          <t>Caminhonete</t>
        </is>
      </c>
      <c r="B8" s="235" t="inlineStr">
        <is>
          <t xml:space="preserve">FORD RANGER </t>
        </is>
      </c>
      <c r="C8" s="235" t="inlineStr">
        <is>
          <t>TN 72</t>
        </is>
      </c>
      <c r="D8" s="235" t="inlineStr">
        <is>
          <t>SINAL</t>
        </is>
      </c>
      <c r="E8" s="235" t="inlineStr">
        <is>
          <t>SONDA</t>
        </is>
      </c>
      <c r="F8" s="267" t="inlineStr">
        <is>
          <t>FXD9A18</t>
        </is>
      </c>
      <c r="G8" s="238" t="inlineStr">
        <is>
          <t>CARAJÁS</t>
        </is>
      </c>
      <c r="H8" s="245" t="inlineStr">
        <is>
          <t>ROSIVALDO CORREA</t>
        </is>
      </c>
      <c r="I8" s="244" t="n">
        <v>46087</v>
      </c>
      <c r="J8" s="234" t="inlineStr">
        <is>
          <t>Manutenção</t>
        </is>
      </c>
      <c r="K8" s="234" t="n">
        <v>121342</v>
      </c>
      <c r="L8" s="234" t="n">
        <v>123217</v>
      </c>
      <c r="M8" s="234" t="n">
        <v>124019</v>
      </c>
      <c r="N8" s="234" t="n"/>
      <c r="O8" s="234" t="n"/>
      <c r="P8" s="241" t="inlineStr">
        <is>
          <t>13.01.2025</t>
        </is>
      </c>
      <c r="Q8" s="270" t="inlineStr">
        <is>
          <t>EM DIA</t>
        </is>
      </c>
      <c r="R8" s="241" t="inlineStr">
        <is>
          <t>30.01.2026</t>
        </is>
      </c>
    </row>
    <row r="9" customFormat="1" s="19">
      <c r="A9" s="238" t="inlineStr">
        <is>
          <t>Caminhonete</t>
        </is>
      </c>
      <c r="B9" s="238" t="inlineStr">
        <is>
          <t>Strada</t>
        </is>
      </c>
      <c r="C9" s="238" t="inlineStr">
        <is>
          <t>TN 73</t>
        </is>
      </c>
      <c r="D9" s="238" t="inlineStr">
        <is>
          <t>Localiza</t>
        </is>
      </c>
      <c r="E9" s="235" t="inlineStr">
        <is>
          <t>VALE</t>
        </is>
      </c>
      <c r="F9" s="271" t="inlineStr">
        <is>
          <t>TXX4C32</t>
        </is>
      </c>
      <c r="G9" s="238" t="inlineStr">
        <is>
          <t>CARAJÁS</t>
        </is>
      </c>
      <c r="H9" s="248" t="inlineStr">
        <is>
          <t>Waaldecyr</t>
        </is>
      </c>
      <c r="I9" s="244" t="n">
        <v>46087</v>
      </c>
      <c r="J9" s="234" t="n">
        <v>2875</v>
      </c>
      <c r="K9" s="234" t="n">
        <v>3428</v>
      </c>
      <c r="L9" s="234" t="n">
        <v>4128</v>
      </c>
      <c r="M9" s="234" t="inlineStr">
        <is>
          <t>em mobilização</t>
        </is>
      </c>
      <c r="N9" s="234" t="n"/>
      <c r="O9" s="234" t="n"/>
      <c r="P9" s="274" t="inlineStr">
        <is>
          <t>12.02.2026</t>
        </is>
      </c>
      <c r="Q9" s="270" t="inlineStr">
        <is>
          <t>EM DIA</t>
        </is>
      </c>
      <c r="R9" s="274" t="inlineStr">
        <is>
          <t>14.03.2026</t>
        </is>
      </c>
    </row>
    <row r="10" customFormat="1" s="19">
      <c r="A10" s="235" t="inlineStr">
        <is>
          <t>Caminhonete</t>
        </is>
      </c>
      <c r="B10" s="235" t="inlineStr">
        <is>
          <t>Hillux</t>
        </is>
      </c>
      <c r="C10" s="238" t="inlineStr">
        <is>
          <t>TN 74</t>
        </is>
      </c>
      <c r="D10" s="235" t="inlineStr">
        <is>
          <t>SINAL</t>
        </is>
      </c>
      <c r="E10" s="235" t="inlineStr">
        <is>
          <t>VALE</t>
        </is>
      </c>
      <c r="F10" s="267" t="inlineStr">
        <is>
          <t>RDM2E33</t>
        </is>
      </c>
      <c r="G10" s="235" t="inlineStr">
        <is>
          <t>CARAJÁS</t>
        </is>
      </c>
      <c r="H10" s="245" t="inlineStr">
        <is>
          <t>Ederson</t>
        </is>
      </c>
      <c r="I10" s="244" t="n">
        <v>46087</v>
      </c>
      <c r="J10" s="234" t="n">
        <v>33200</v>
      </c>
      <c r="K10" s="234" t="n">
        <v>33881</v>
      </c>
      <c r="L10" s="234" t="n">
        <v>34499</v>
      </c>
      <c r="M10" s="234" t="n">
        <v>35523</v>
      </c>
      <c r="N10" s="234" t="n"/>
      <c r="O10" s="234" t="n"/>
      <c r="P10" s="269" t="inlineStr">
        <is>
          <t>15.02.2026</t>
        </is>
      </c>
      <c r="Q10" s="270" t="inlineStr">
        <is>
          <t>EM DIA</t>
        </is>
      </c>
      <c r="R10" s="269" t="inlineStr">
        <is>
          <t>29.03.2026</t>
        </is>
      </c>
    </row>
    <row r="11" customFormat="1" s="19">
      <c r="A11" s="275" t="inlineStr">
        <is>
          <t>Caminhonete</t>
        </is>
      </c>
      <c r="B11" s="235" t="inlineStr">
        <is>
          <t>Hillux</t>
        </is>
      </c>
      <c r="C11" s="275" t="inlineStr">
        <is>
          <t>TN 76</t>
        </is>
      </c>
      <c r="D11" s="275" t="inlineStr">
        <is>
          <t>SINAL</t>
        </is>
      </c>
      <c r="E11" s="235" t="inlineStr">
        <is>
          <t>VALE</t>
        </is>
      </c>
      <c r="F11" s="276" t="inlineStr">
        <is>
          <t>TCD7H72</t>
        </is>
      </c>
      <c r="G11" s="275" t="inlineStr">
        <is>
          <t>CARAJÁS</t>
        </is>
      </c>
      <c r="H11" s="246" t="inlineStr">
        <is>
          <t>Josue</t>
        </is>
      </c>
      <c r="I11" s="244" t="n">
        <v>46087</v>
      </c>
      <c r="J11" s="234" t="n">
        <v>30851</v>
      </c>
      <c r="K11" s="234" t="n">
        <v>31673</v>
      </c>
      <c r="L11" s="277" t="n">
        <v>32451</v>
      </c>
      <c r="M11" s="234" t="n">
        <v>32832</v>
      </c>
      <c r="N11" s="234" t="n"/>
      <c r="O11" s="234" t="n"/>
      <c r="P11" s="269" t="inlineStr">
        <is>
          <t>16.03.2026</t>
        </is>
      </c>
      <c r="Q11" s="270" t="inlineStr">
        <is>
          <t xml:space="preserve">EM DIA </t>
        </is>
      </c>
      <c r="R11" s="241" t="inlineStr">
        <is>
          <t>07.04.2026</t>
        </is>
      </c>
    </row>
    <row r="12" customFormat="1" s="19">
      <c r="A12" s="247" t="inlineStr">
        <is>
          <t>Caminhonete</t>
        </is>
      </c>
      <c r="B12" s="278" t="inlineStr">
        <is>
          <t xml:space="preserve">FORD RANGER </t>
        </is>
      </c>
      <c r="C12" s="278" t="inlineStr">
        <is>
          <t>TN 78</t>
        </is>
      </c>
      <c r="D12" s="247" t="inlineStr">
        <is>
          <t>SONDA</t>
        </is>
      </c>
      <c r="E12" s="247" t="inlineStr">
        <is>
          <t>SONDA</t>
        </is>
      </c>
      <c r="F12" s="279" t="inlineStr">
        <is>
          <t xml:space="preserve">FZY4F28 </t>
        </is>
      </c>
      <c r="G12" s="247" t="inlineStr">
        <is>
          <t>CARAJÁS</t>
        </is>
      </c>
      <c r="H12" s="247" t="inlineStr">
        <is>
          <t xml:space="preserve">Gabriel Garcia  </t>
        </is>
      </c>
      <c r="I12" s="244" t="n">
        <v>46087</v>
      </c>
      <c r="J12" s="234" t="n">
        <v>126961</v>
      </c>
      <c r="K12" s="234" t="n">
        <v>127823</v>
      </c>
      <c r="L12" s="234" t="n">
        <v>128424</v>
      </c>
      <c r="M12" s="234" t="n">
        <v>129551</v>
      </c>
      <c r="N12" s="234" t="n"/>
      <c r="O12" s="234" t="n"/>
      <c r="P12" s="241" t="inlineStr">
        <is>
          <t>16.03.2026</t>
        </is>
      </c>
      <c r="Q12" s="270" t="inlineStr">
        <is>
          <t xml:space="preserve">EM DIA </t>
        </is>
      </c>
      <c r="R12" s="241" t="inlineStr">
        <is>
          <t>09.04.2026</t>
        </is>
      </c>
    </row>
    <row r="13"/>
    <row r="14">
      <c r="A14" s="169" t="inlineStr">
        <is>
          <t xml:space="preserve">Veículos Cadastrados </t>
        </is>
      </c>
      <c r="B14" s="170" t="n"/>
      <c r="C14" s="170" t="n"/>
      <c r="D14" s="170" t="n"/>
      <c r="E14" s="170" t="n"/>
      <c r="F14" s="255" t="n"/>
      <c r="G14" s="170" t="n"/>
      <c r="H14" s="170" t="n"/>
      <c r="I14" s="170" t="n"/>
      <c r="J14" s="170" t="n"/>
      <c r="K14" s="170" t="n"/>
      <c r="L14" s="170" t="n"/>
      <c r="M14" s="170" t="n"/>
      <c r="N14" s="170" t="n"/>
      <c r="O14" s="170" t="n"/>
      <c r="P14" s="228" t="n"/>
      <c r="Q14" s="171" t="n"/>
      <c r="R14" s="172" t="n"/>
    </row>
    <row r="15" hidden="1">
      <c r="A15" s="193" t="inlineStr">
        <is>
          <t>Tipo</t>
        </is>
      </c>
      <c r="B15" s="193" t="inlineStr">
        <is>
          <t xml:space="preserve">Modelos </t>
        </is>
      </c>
      <c r="C15" s="193" t="inlineStr">
        <is>
          <t>Tag</t>
        </is>
      </c>
      <c r="D15" s="193" t="inlineStr">
        <is>
          <t>Locadora</t>
        </is>
      </c>
      <c r="E15" s="193" t="inlineStr">
        <is>
          <t>Localidade</t>
        </is>
      </c>
      <c r="F15" s="193" t="inlineStr">
        <is>
          <t>Placa</t>
        </is>
      </c>
      <c r="G15" s="193" t="inlineStr">
        <is>
          <t>SSO</t>
        </is>
      </c>
      <c r="H15" s="193" t="inlineStr">
        <is>
          <t>Condutores</t>
        </is>
      </c>
      <c r="I15" s="193" t="inlineStr">
        <is>
          <t>SEMANA 02</t>
        </is>
      </c>
      <c r="J15" s="193" t="inlineStr">
        <is>
          <t>KM TOTAL</t>
        </is>
      </c>
      <c r="K15" s="216" t="inlineStr">
        <is>
          <t>S1</t>
        </is>
      </c>
      <c r="L15" s="216" t="inlineStr">
        <is>
          <t>S2</t>
        </is>
      </c>
      <c r="M15" s="216" t="inlineStr">
        <is>
          <t>S3</t>
        </is>
      </c>
      <c r="N15" s="216" t="inlineStr">
        <is>
          <t>S4</t>
        </is>
      </c>
      <c r="O15" s="216" t="n"/>
      <c r="P15" s="230" t="inlineStr">
        <is>
          <t>ULTIMA LAVAGEM</t>
        </is>
      </c>
      <c r="Q15" s="231" t="inlineStr">
        <is>
          <t xml:space="preserve">LAVAGEM PROGRAMADA </t>
        </is>
      </c>
      <c r="R15" s="232" t="inlineStr">
        <is>
          <t>PROX. LAVAGEM</t>
        </is>
      </c>
    </row>
    <row r="16" hidden="1">
      <c r="A16" s="198" t="inlineStr">
        <is>
          <t>Leve</t>
        </is>
      </c>
      <c r="B16" s="198" t="inlineStr">
        <is>
          <t>Tracker</t>
        </is>
      </c>
      <c r="C16" s="198" t="inlineStr">
        <is>
          <t>TN 01</t>
        </is>
      </c>
      <c r="D16" s="198" t="inlineStr">
        <is>
          <t>Localiza</t>
        </is>
      </c>
      <c r="E16" s="198" t="inlineStr">
        <is>
          <t>CKS</t>
        </is>
      </c>
      <c r="F16" s="198" t="inlineStr">
        <is>
          <t>TCO2C15</t>
        </is>
      </c>
      <c r="G16" s="198" t="inlineStr">
        <is>
          <t>CARAJÁS</t>
        </is>
      </c>
      <c r="H16" s="200" t="inlineStr">
        <is>
          <t>Fabricio Maia</t>
        </is>
      </c>
      <c r="I16" s="161" t="n">
        <v>45912</v>
      </c>
      <c r="J16" s="201">
        <f>SUM(K16:N16)</f>
        <v/>
      </c>
      <c r="K16" s="207">
        <f>K3-$J3</f>
        <v/>
      </c>
      <c r="L16" s="207">
        <f>L3-$J3</f>
        <v/>
      </c>
      <c r="M16" s="207">
        <f>M3-$J3</f>
        <v/>
      </c>
      <c r="N16" s="207">
        <f>N3-$J3</f>
        <v/>
      </c>
      <c r="O16" s="207" t="n"/>
      <c r="P16" s="141" t="n">
        <v>45891</v>
      </c>
      <c r="Q16" s="218" t="n"/>
      <c r="R16" s="98" t="n"/>
    </row>
    <row r="17" hidden="1">
      <c r="A17" s="198" t="inlineStr">
        <is>
          <t>Caminhonete</t>
        </is>
      </c>
      <c r="B17" s="198" t="inlineStr">
        <is>
          <t>Hillux</t>
        </is>
      </c>
      <c r="C17" s="198" t="inlineStr">
        <is>
          <t>TN 03</t>
        </is>
      </c>
      <c r="D17" s="198" t="inlineStr">
        <is>
          <t>SINAL</t>
        </is>
      </c>
      <c r="E17" s="198" t="inlineStr">
        <is>
          <t>CKS</t>
        </is>
      </c>
      <c r="F17" s="198" t="inlineStr">
        <is>
          <t>TCD7H75</t>
        </is>
      </c>
      <c r="G17" s="197" t="inlineStr">
        <is>
          <t>CARAJÁS</t>
        </is>
      </c>
      <c r="H17" s="199" t="inlineStr">
        <is>
          <t>Lucas</t>
        </is>
      </c>
      <c r="I17" s="161" t="n">
        <v>45912</v>
      </c>
      <c r="J17" s="201">
        <f>SUM(K17:N17)</f>
        <v/>
      </c>
      <c r="K17" s="207">
        <f>K4-$J4</f>
        <v/>
      </c>
      <c r="L17" s="207">
        <f>L4-$J4</f>
        <v/>
      </c>
      <c r="M17" s="207">
        <f>M4-$J4</f>
        <v/>
      </c>
      <c r="N17" s="207">
        <f>N4-$J4</f>
        <v/>
      </c>
      <c r="O17" s="207" t="n"/>
      <c r="P17" s="141" t="n">
        <v>45896</v>
      </c>
      <c r="Q17" s="218" t="inlineStr">
        <is>
          <t>pendente</t>
        </is>
      </c>
      <c r="R17" s="99" t="n">
        <v>45921</v>
      </c>
    </row>
    <row r="18" hidden="1">
      <c r="A18" s="198" t="inlineStr">
        <is>
          <t>Caminhonete</t>
        </is>
      </c>
      <c r="B18" s="198" t="inlineStr">
        <is>
          <t>HILLUX</t>
        </is>
      </c>
      <c r="C18" s="198" t="inlineStr">
        <is>
          <t>TN 04</t>
        </is>
      </c>
      <c r="D18" s="198" t="inlineStr">
        <is>
          <t>SINAL</t>
        </is>
      </c>
      <c r="E18" s="198" t="inlineStr">
        <is>
          <t>CKS</t>
        </is>
      </c>
      <c r="F18" s="198" t="inlineStr">
        <is>
          <t>TDM2E37</t>
        </is>
      </c>
      <c r="G18" s="198" t="inlineStr">
        <is>
          <t>CARAJÁS</t>
        </is>
      </c>
      <c r="H18" s="200" t="inlineStr">
        <is>
          <t>MATHEUS</t>
        </is>
      </c>
      <c r="I18" s="161" t="n">
        <v>45912</v>
      </c>
      <c r="J18" s="201">
        <f>SUM(K18:N18)</f>
        <v/>
      </c>
      <c r="K18" s="207">
        <f>K5-$J5</f>
        <v/>
      </c>
      <c r="L18" s="207">
        <f>L5-$J5</f>
        <v/>
      </c>
      <c r="M18" s="207">
        <f>M5-$J5</f>
        <v/>
      </c>
      <c r="N18" s="207">
        <f>N5-$J5</f>
        <v/>
      </c>
      <c r="O18" s="207" t="n"/>
      <c r="P18" s="141" t="n">
        <v>45908</v>
      </c>
      <c r="Q18" s="182" t="inlineStr">
        <is>
          <t>ok</t>
        </is>
      </c>
      <c r="R18" s="99" t="n">
        <v>45919</v>
      </c>
    </row>
    <row r="19" hidden="1">
      <c r="A19" s="197" t="inlineStr">
        <is>
          <t>Caminhonete</t>
        </is>
      </c>
      <c r="B19" s="197" t="inlineStr">
        <is>
          <t>CHEVROLET S10</t>
        </is>
      </c>
      <c r="C19" s="198" t="inlineStr">
        <is>
          <t>TN 29</t>
        </is>
      </c>
      <c r="D19" s="197" t="inlineStr">
        <is>
          <t>Sonda</t>
        </is>
      </c>
      <c r="E19" s="197" t="inlineStr">
        <is>
          <t>CKS</t>
        </is>
      </c>
      <c r="F19" s="197" t="inlineStr">
        <is>
          <t>FXR0F35</t>
        </is>
      </c>
      <c r="G19" s="197" t="inlineStr">
        <is>
          <t>CARAJÁS</t>
        </is>
      </c>
      <c r="H19" s="199" t="inlineStr">
        <is>
          <t>JOÃO TAVARES</t>
        </is>
      </c>
      <c r="I19" s="161" t="n">
        <v>45912</v>
      </c>
      <c r="J19" s="201">
        <f>SUM(K19:N19)</f>
        <v/>
      </c>
      <c r="K19" s="207">
        <f>K6-$J6</f>
        <v/>
      </c>
      <c r="L19" s="207">
        <f>L6-$J6</f>
        <v/>
      </c>
      <c r="M19" s="207">
        <f>M6-$J6</f>
        <v/>
      </c>
      <c r="N19" s="207">
        <f>N6-$J6</f>
        <v/>
      </c>
      <c r="O19" s="207" t="n"/>
      <c r="P19" s="141" t="n">
        <v>45916</v>
      </c>
      <c r="Q19" s="182" t="inlineStr">
        <is>
          <t>ok</t>
        </is>
      </c>
      <c r="R19" s="99" t="n">
        <v>45924</v>
      </c>
    </row>
    <row r="20" hidden="1">
      <c r="A20" s="198" t="inlineStr">
        <is>
          <t>Caminhonete</t>
        </is>
      </c>
      <c r="B20" s="198" t="inlineStr">
        <is>
          <t>Hillux</t>
        </is>
      </c>
      <c r="C20" s="198" t="inlineStr">
        <is>
          <t>TN 31</t>
        </is>
      </c>
      <c r="D20" s="198" t="inlineStr">
        <is>
          <t>SINAL</t>
        </is>
      </c>
      <c r="E20" s="198" t="inlineStr">
        <is>
          <t>CKS</t>
        </is>
      </c>
      <c r="F20" s="198" t="inlineStr">
        <is>
          <t>TCD7I68</t>
        </is>
      </c>
      <c r="G20" s="197" t="inlineStr">
        <is>
          <t>CARAJÁS</t>
        </is>
      </c>
      <c r="H20" s="199" t="inlineStr">
        <is>
          <t>Lucas</t>
        </is>
      </c>
      <c r="I20" s="161" t="n">
        <v>45912</v>
      </c>
      <c r="J20" s="201">
        <f>SUM(K20:N20)</f>
        <v/>
      </c>
      <c r="K20" s="207">
        <f>K7-$J7</f>
        <v/>
      </c>
      <c r="L20" s="207">
        <f>L7-$J7</f>
        <v/>
      </c>
      <c r="M20" s="207">
        <f>M7-$J7</f>
        <v/>
      </c>
      <c r="N20" s="207">
        <f>N7-$J7</f>
        <v/>
      </c>
      <c r="O20" s="207" t="n"/>
      <c r="P20" s="141" t="n">
        <v>45901</v>
      </c>
      <c r="Q20" s="182" t="inlineStr">
        <is>
          <t>pendente</t>
        </is>
      </c>
      <c r="R20" s="99" t="n">
        <v>45920</v>
      </c>
    </row>
    <row r="21" hidden="1">
      <c r="A21" s="198" t="inlineStr">
        <is>
          <t>Caminhonete</t>
        </is>
      </c>
      <c r="B21" s="198" t="inlineStr">
        <is>
          <t xml:space="preserve">FORD RANGER </t>
        </is>
      </c>
      <c r="C21" s="198" t="inlineStr">
        <is>
          <t>TN 72</t>
        </is>
      </c>
      <c r="D21" s="198" t="inlineStr">
        <is>
          <t>Sonda</t>
        </is>
      </c>
      <c r="E21" s="198" t="inlineStr">
        <is>
          <t>CKS</t>
        </is>
      </c>
      <c r="F21" s="198" t="inlineStr">
        <is>
          <t>FXD9A18</t>
        </is>
      </c>
      <c r="G21" s="197" t="inlineStr">
        <is>
          <t>CARAJÁS</t>
        </is>
      </c>
      <c r="H21" s="199" t="inlineStr">
        <is>
          <t>RAIMUNDO CHARLES</t>
        </is>
      </c>
      <c r="I21" s="161" t="n">
        <v>45912</v>
      </c>
      <c r="J21" s="201">
        <f>SUM(K21:N21)</f>
        <v/>
      </c>
      <c r="K21" s="207">
        <f>K8-$J8</f>
        <v/>
      </c>
      <c r="L21" s="207">
        <f>L8-$J8</f>
        <v/>
      </c>
      <c r="M21" s="207">
        <f>M8-$J8</f>
        <v/>
      </c>
      <c r="N21" s="207">
        <f>N8-$J8</f>
        <v/>
      </c>
      <c r="O21" s="207" t="n"/>
      <c r="P21" s="141" t="n">
        <v>45904</v>
      </c>
      <c r="Q21" s="218" t="inlineStr">
        <is>
          <t>pendente</t>
        </is>
      </c>
      <c r="R21" s="99" t="n">
        <v>45926</v>
      </c>
    </row>
    <row r="22" hidden="1">
      <c r="A22" s="197" t="inlineStr">
        <is>
          <t>Caminhonete</t>
        </is>
      </c>
      <c r="B22" s="197" t="inlineStr">
        <is>
          <t>Hillux</t>
        </is>
      </c>
      <c r="C22" s="198" t="inlineStr">
        <is>
          <t>TN 73</t>
        </is>
      </c>
      <c r="D22" s="197" t="inlineStr">
        <is>
          <t>SINAL</t>
        </is>
      </c>
      <c r="E22" s="197" t="inlineStr">
        <is>
          <t>CKS</t>
        </is>
      </c>
      <c r="F22" s="197" t="inlineStr">
        <is>
          <t>TCD7H73</t>
        </is>
      </c>
      <c r="G22" s="197" t="inlineStr">
        <is>
          <t>CARAJÁS</t>
        </is>
      </c>
      <c r="H22" s="199" t="inlineStr">
        <is>
          <t>William</t>
        </is>
      </c>
      <c r="I22" s="161" t="n">
        <v>45912</v>
      </c>
      <c r="J22" s="201">
        <f>SUM(K22:N22)</f>
        <v/>
      </c>
      <c r="K22" s="207">
        <f>K9-$J9</f>
        <v/>
      </c>
      <c r="L22" s="207">
        <f>L9-$J9</f>
        <v/>
      </c>
      <c r="M22" s="207">
        <f>M9-$J9</f>
        <v/>
      </c>
      <c r="N22" s="207">
        <f>N9-$J9</f>
        <v/>
      </c>
      <c r="O22" s="251" t="n"/>
      <c r="P22" s="59" t="n">
        <v>45905</v>
      </c>
      <c r="Q22" s="184" t="inlineStr">
        <is>
          <t>pendente</t>
        </is>
      </c>
      <c r="R22" s="99" t="n">
        <v>45924</v>
      </c>
    </row>
    <row r="23" hidden="1">
      <c r="A23" s="198" t="inlineStr">
        <is>
          <t>Caminhonete</t>
        </is>
      </c>
      <c r="B23" s="198" t="inlineStr">
        <is>
          <t>Ranger</t>
        </is>
      </c>
      <c r="C23" s="198" t="inlineStr">
        <is>
          <t>TN 74</t>
        </is>
      </c>
      <c r="D23" s="198" t="inlineStr">
        <is>
          <t>SONDA</t>
        </is>
      </c>
      <c r="E23" s="198" t="inlineStr">
        <is>
          <t>CKS</t>
        </is>
      </c>
      <c r="F23" s="198" t="inlineStr">
        <is>
          <t>RDM2E33</t>
        </is>
      </c>
      <c r="G23" s="198" t="inlineStr">
        <is>
          <t>CARAJÁS</t>
        </is>
      </c>
      <c r="H23" s="200" t="inlineStr">
        <is>
          <t>Ederson</t>
        </is>
      </c>
      <c r="I23" s="161" t="n">
        <v>45912</v>
      </c>
      <c r="J23" s="201">
        <f>SUM(K23:N23)</f>
        <v/>
      </c>
      <c r="K23" s="207">
        <f>K10-$J10</f>
        <v/>
      </c>
      <c r="L23" s="207">
        <f>L10-$J10</f>
        <v/>
      </c>
      <c r="M23" s="207">
        <f>M10-$J10</f>
        <v/>
      </c>
      <c r="N23" s="207">
        <f>N10-$J10</f>
        <v/>
      </c>
      <c r="O23" s="207" t="n"/>
      <c r="P23" s="141" t="n">
        <v>45918</v>
      </c>
      <c r="Q23" s="184" t="inlineStr">
        <is>
          <t>ok</t>
        </is>
      </c>
      <c r="R23" s="99" t="n">
        <v>45923</v>
      </c>
    </row>
    <row r="24" hidden="1">
      <c r="A24" s="209" t="inlineStr">
        <is>
          <t>Caminhonete</t>
        </is>
      </c>
      <c r="B24" s="209" t="inlineStr">
        <is>
          <t>NISSAN FRONTIER</t>
        </is>
      </c>
      <c r="C24" s="209" t="inlineStr">
        <is>
          <t>TN 76</t>
        </is>
      </c>
      <c r="D24" s="209" t="inlineStr">
        <is>
          <t>SINAL</t>
        </is>
      </c>
      <c r="E24" s="209" t="inlineStr">
        <is>
          <t>CKS</t>
        </is>
      </c>
      <c r="F24" s="209" t="inlineStr">
        <is>
          <t>TCD7H72</t>
        </is>
      </c>
      <c r="G24" s="209" t="inlineStr">
        <is>
          <t>CARAJÁS</t>
        </is>
      </c>
      <c r="H24" s="217" t="inlineStr">
        <is>
          <t>Renan</t>
        </is>
      </c>
      <c r="I24" s="161" t="n">
        <v>45912</v>
      </c>
      <c r="J24" s="201">
        <f>SUM(K24:N24)</f>
        <v/>
      </c>
      <c r="K24" s="207">
        <f>K11-$J11</f>
        <v/>
      </c>
      <c r="L24" s="207">
        <f>L11-$J11</f>
        <v/>
      </c>
      <c r="M24" s="207">
        <f>M11-$J11</f>
        <v/>
      </c>
      <c r="N24" s="207">
        <f>N11-$J11</f>
        <v/>
      </c>
      <c r="O24" s="207" t="n"/>
      <c r="P24" s="141" t="n">
        <v>45901</v>
      </c>
      <c r="Q24" s="184" t="inlineStr">
        <is>
          <t>pendente</t>
        </is>
      </c>
      <c r="R24" s="99" t="n">
        <v>45922</v>
      </c>
    </row>
    <row r="25" hidden="1">
      <c r="A25" s="202" t="inlineStr">
        <is>
          <t>Caminhonete</t>
        </is>
      </c>
      <c r="B25" s="204" t="inlineStr">
        <is>
          <t>NISSAN FRONTIER</t>
        </is>
      </c>
      <c r="C25" s="204" t="inlineStr">
        <is>
          <t>TN78</t>
        </is>
      </c>
      <c r="D25" s="202" t="inlineStr">
        <is>
          <t>SONDA</t>
        </is>
      </c>
      <c r="E25" s="202" t="inlineStr">
        <is>
          <t>CKS</t>
        </is>
      </c>
      <c r="F25" s="202" t="inlineStr">
        <is>
          <t xml:space="preserve">FZY4F28 </t>
        </is>
      </c>
      <c r="G25" s="202" t="inlineStr">
        <is>
          <t>CARAJÁS</t>
        </is>
      </c>
      <c r="H25" s="202" t="inlineStr">
        <is>
          <t>Ederson</t>
        </is>
      </c>
      <c r="I25" s="161" t="n">
        <v>45912</v>
      </c>
      <c r="J25" s="201">
        <f>SUM(K25:N25)</f>
        <v/>
      </c>
      <c r="K25" s="207">
        <f>K12-$J12</f>
        <v/>
      </c>
      <c r="L25" s="207">
        <f>L12-$J12</f>
        <v/>
      </c>
      <c r="M25" s="207">
        <f>M12-$J12</f>
        <v/>
      </c>
      <c r="N25" s="207">
        <f>N12-$J12</f>
        <v/>
      </c>
      <c r="O25" s="207" t="n"/>
      <c r="P25" s="141" t="n">
        <v>45905</v>
      </c>
      <c r="Q25" s="184" t="inlineStr">
        <is>
          <t>pendente</t>
        </is>
      </c>
      <c r="R25" s="99" t="n">
        <v>45922</v>
      </c>
    </row>
    <row r="26" ht="14.95" customHeight="1" thickBot="1"/>
    <row r="27" ht="28.55" customHeight="1">
      <c r="A27" s="319" t="inlineStr">
        <is>
          <t>ACOMPANHAMENTO KM SEMANA</t>
        </is>
      </c>
      <c r="B27" s="328" t="n"/>
      <c r="C27" s="328" t="n"/>
      <c r="D27" s="328" t="n"/>
      <c r="E27" s="328" t="n"/>
      <c r="F27" s="226" t="n"/>
      <c r="G27" s="250" t="inlineStr">
        <is>
          <t>ULTIMA LAVAGEM</t>
        </is>
      </c>
      <c r="H27" s="259" t="inlineStr">
        <is>
          <t>Proxima Lavagem</t>
        </is>
      </c>
    </row>
    <row r="28" ht="14.95" customHeight="1" thickBot="1">
      <c r="A28" s="227" t="inlineStr">
        <is>
          <t>TAG</t>
        </is>
      </c>
      <c r="B28" s="222" t="inlineStr">
        <is>
          <t>S1</t>
        </is>
      </c>
      <c r="C28" s="222" t="inlineStr">
        <is>
          <t>S2</t>
        </is>
      </c>
      <c r="D28" s="222" t="inlineStr">
        <is>
          <t>S3</t>
        </is>
      </c>
      <c r="E28" s="223" t="inlineStr">
        <is>
          <t>S4</t>
        </is>
      </c>
      <c r="F28" s="223" t="inlineStr">
        <is>
          <t>S5</t>
        </is>
      </c>
      <c r="G28" s="224" t="inlineStr">
        <is>
          <t>ACUM.</t>
        </is>
      </c>
      <c r="H28" s="225" t="n"/>
      <c r="Q28" s="229" t="n"/>
    </row>
    <row r="29" ht="14.95" customHeight="1" thickBot="1">
      <c r="A29" s="252" t="inlineStr">
        <is>
          <t>TN 01</t>
        </is>
      </c>
      <c r="B29" s="253" t="n">
        <v>280</v>
      </c>
      <c r="C29" s="254" t="n">
        <v>284</v>
      </c>
      <c r="D29" s="254" t="n">
        <v>274</v>
      </c>
      <c r="E29" s="254" t="n"/>
      <c r="F29" s="254" t="n"/>
      <c r="G29" s="257" t="n">
        <v>838</v>
      </c>
      <c r="H29" s="239">
        <f>R3</f>
        <v/>
      </c>
      <c r="Q29" s="229" t="n"/>
    </row>
    <row r="30" ht="14.95" customHeight="1" thickBot="1">
      <c r="A30" s="219" t="inlineStr">
        <is>
          <t>TN 03</t>
        </is>
      </c>
      <c r="B30" s="253" t="n">
        <v>974</v>
      </c>
      <c r="C30" s="254" t="n">
        <v>620</v>
      </c>
      <c r="D30" s="254" t="n"/>
      <c r="E30" s="254" t="n"/>
      <c r="F30" s="254" t="n"/>
      <c r="G30" s="257" t="n">
        <v>1594</v>
      </c>
      <c r="H30" s="239">
        <f>R4</f>
        <v/>
      </c>
      <c r="Q30" s="229" t="n"/>
    </row>
    <row r="31" ht="14.95" customHeight="1" thickBot="1">
      <c r="A31" s="219" t="inlineStr">
        <is>
          <t>TN 04</t>
        </is>
      </c>
      <c r="B31" s="253" t="n">
        <v>1021</v>
      </c>
      <c r="C31" s="254" t="n">
        <v>453</v>
      </c>
      <c r="D31" s="254" t="n">
        <v>347</v>
      </c>
      <c r="E31" s="254" t="n"/>
      <c r="F31" s="254" t="n"/>
      <c r="G31" s="257" t="n">
        <v>1821</v>
      </c>
      <c r="H31" s="239">
        <f>R5</f>
        <v/>
      </c>
      <c r="Q31" s="229" t="n"/>
    </row>
    <row r="32" ht="14.95" customHeight="1" thickBot="1">
      <c r="A32" s="219" t="inlineStr">
        <is>
          <t>TN 29</t>
        </is>
      </c>
      <c r="B32" s="253" t="n">
        <v>429</v>
      </c>
      <c r="C32" s="254" t="n">
        <v>856</v>
      </c>
      <c r="D32" s="254" t="n">
        <v>794</v>
      </c>
      <c r="E32" s="254" t="n"/>
      <c r="F32" s="254" t="n"/>
      <c r="G32" s="257" t="n">
        <v>2079</v>
      </c>
      <c r="H32" s="239">
        <f>R6</f>
        <v/>
      </c>
      <c r="Q32" s="229" t="n"/>
    </row>
    <row r="33" ht="14.95" customHeight="1" thickBot="1">
      <c r="A33" s="219" t="inlineStr">
        <is>
          <t>TN 31</t>
        </is>
      </c>
      <c r="B33" s="253" t="n">
        <v>444</v>
      </c>
      <c r="C33" s="254" t="n">
        <v>763</v>
      </c>
      <c r="D33" s="254" t="n">
        <v>549</v>
      </c>
      <c r="E33" s="254" t="n"/>
      <c r="F33" s="254" t="n"/>
      <c r="G33" s="257" t="n">
        <v>1756</v>
      </c>
      <c r="H33" s="239">
        <f>R7</f>
        <v/>
      </c>
      <c r="Q33" s="229" t="n"/>
    </row>
    <row r="34" ht="14.95" customHeight="1" thickBot="1">
      <c r="A34" s="219" t="inlineStr">
        <is>
          <t>TN 72</t>
        </is>
      </c>
      <c r="B34" s="253" t="n"/>
      <c r="C34" s="254" t="n">
        <v>1875</v>
      </c>
      <c r="D34" s="254" t="n">
        <v>802</v>
      </c>
      <c r="E34" s="254" t="n"/>
      <c r="F34" s="254" t="n"/>
      <c r="G34" s="257" t="n">
        <v>2677</v>
      </c>
      <c r="H34" s="239">
        <f>R8</f>
        <v/>
      </c>
      <c r="Q34" s="229" t="n"/>
    </row>
    <row r="35" ht="14.95" customHeight="1" thickBot="1">
      <c r="A35" s="219" t="inlineStr">
        <is>
          <t>TN 73</t>
        </is>
      </c>
      <c r="B35" s="253" t="n">
        <v>553</v>
      </c>
      <c r="C35" s="254" t="n">
        <v>700</v>
      </c>
      <c r="D35" s="254" t="n"/>
      <c r="E35" s="254" t="n"/>
      <c r="F35" s="254" t="n"/>
      <c r="G35" s="257" t="n">
        <v>1253</v>
      </c>
      <c r="H35" s="239">
        <f>R9</f>
        <v/>
      </c>
      <c r="Q35" s="229" t="n"/>
    </row>
    <row r="36" ht="14.95" customHeight="1" thickBot="1">
      <c r="A36" s="219" t="inlineStr">
        <is>
          <t>TN 74</t>
        </is>
      </c>
      <c r="B36" s="253" t="n">
        <v>681</v>
      </c>
      <c r="C36" s="254" t="n">
        <v>618</v>
      </c>
      <c r="D36" s="254" t="n">
        <v>1024</v>
      </c>
      <c r="E36" s="254" t="n"/>
      <c r="F36" s="254" t="n"/>
      <c r="G36" s="257" t="n">
        <v>2323</v>
      </c>
      <c r="H36" s="239">
        <f>R10</f>
        <v/>
      </c>
      <c r="Q36" s="229" t="n"/>
    </row>
    <row r="37" ht="14.95" customHeight="1" thickBot="1">
      <c r="A37" s="220" t="inlineStr">
        <is>
          <t>TN 76</t>
        </is>
      </c>
      <c r="B37" s="253" t="n">
        <v>822</v>
      </c>
      <c r="C37" s="254" t="n">
        <v>778</v>
      </c>
      <c r="D37" s="254" t="n">
        <v>381</v>
      </c>
      <c r="E37" s="254" t="n"/>
      <c r="F37" s="254" t="n"/>
      <c r="G37" s="257" t="n">
        <v>1981</v>
      </c>
      <c r="H37" s="239">
        <f>R11</f>
        <v/>
      </c>
      <c r="Q37" s="229" t="n"/>
    </row>
    <row r="38" ht="14.95" customHeight="1" thickBot="1">
      <c r="A38" s="221" t="inlineStr">
        <is>
          <t>TN78</t>
        </is>
      </c>
      <c r="B38" s="253" t="n">
        <v>862</v>
      </c>
      <c r="C38" s="254" t="n">
        <v>601</v>
      </c>
      <c r="D38" s="254" t="n">
        <v>1127</v>
      </c>
      <c r="E38" s="254" t="n"/>
      <c r="F38" s="254" t="n"/>
      <c r="G38" s="257" t="n">
        <v>2590</v>
      </c>
      <c r="H38" s="239">
        <f>R12</f>
        <v/>
      </c>
      <c r="Q38" s="229" t="n"/>
    </row>
  </sheetData>
  <autoFilter ref="A2:R2">
    <sortState ref="A3:R12">
      <sortCondition ref="C2"/>
    </sortState>
  </autoFilter>
  <mergeCells count="1">
    <mergeCell ref="A27:E27"/>
  </mergeCells>
  <conditionalFormatting sqref="B29:B38 C30:E30 E31:E38 F30:G38">
    <cfRule type="cellIs" priority="16" operator="between" dxfId="8">
      <formula>1</formula>
      <formula>299</formula>
    </cfRule>
    <cfRule type="cellIs" priority="14" operator="greaterThan" dxfId="1">
      <formula>500</formula>
    </cfRule>
    <cfRule type="cellIs" priority="15" operator="between" dxfId="2">
      <formula>300</formula>
      <formula>500</formula>
    </cfRule>
  </conditionalFormatting>
  <conditionalFormatting sqref="B29:G38">
    <cfRule type="cellIs" priority="17" operator="equal">
      <formula>0</formula>
    </cfRule>
  </conditionalFormatting>
  <conditionalFormatting sqref="C29:G38">
    <cfRule type="cellIs" priority="11" operator="between" dxfId="8">
      <formula>1</formula>
      <formula>600</formula>
    </cfRule>
    <cfRule type="cellIs" priority="12" operator="between" dxfId="2">
      <formula>600</formula>
      <formula>1000</formula>
    </cfRule>
    <cfRule type="cellIs" priority="13" operator="greaterThan" dxfId="1">
      <formula>1000</formula>
    </cfRule>
  </conditionalFormatting>
  <conditionalFormatting sqref="D29:G38">
    <cfRule type="cellIs" priority="8" operator="greaterThan" dxfId="1">
      <formula>1501</formula>
    </cfRule>
    <cfRule type="cellIs" priority="9" operator="between" dxfId="8">
      <formula>1</formula>
      <formula>900</formula>
    </cfRule>
    <cfRule type="cellIs" priority="10" operator="between" dxfId="2">
      <formula>900</formula>
      <formula>1500</formula>
    </cfRule>
  </conditionalFormatting>
  <conditionalFormatting sqref="E30:F38">
    <cfRule type="cellIs" priority="7" operator="greaterThan" dxfId="1">
      <formula>2000</formula>
    </cfRule>
  </conditionalFormatting>
  <conditionalFormatting sqref="E30:F38 G29:G38">
    <cfRule type="cellIs" priority="5" operator="between" dxfId="2">
      <formula>1201</formula>
      <formula>2000</formula>
    </cfRule>
    <cfRule type="cellIs" priority="6" operator="between" dxfId="1">
      <formula>1</formula>
      <formula>1200</formula>
    </cfRule>
  </conditionalFormatting>
  <conditionalFormatting sqref="G29:G38">
    <cfRule type="cellIs" priority="1" operator="between" dxfId="2">
      <formula>1500</formula>
      <formula>2000</formula>
    </cfRule>
    <cfRule type="cellIs" priority="2" operator="between" dxfId="2">
      <formula>1200</formula>
      <formula>2000</formula>
    </cfRule>
    <cfRule type="cellIs" priority="3" operator="greaterThan" dxfId="1">
      <formula>2000</formula>
    </cfRule>
  </conditionalFormatting>
  <conditionalFormatting sqref="H29:H38">
    <cfRule type="cellIs" priority="4" operator="lessThan" dxfId="0">
      <formula>$H$28</formula>
    </cfRule>
  </conditionalFormatting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38"/>
  <sheetViews>
    <sheetView view="pageBreakPreview" zoomScaleNormal="90" zoomScaleSheetLayoutView="100" workbookViewId="0">
      <selection activeCell="C9" sqref="C9"/>
    </sheetView>
  </sheetViews>
  <sheetFormatPr baseColWidth="8" defaultColWidth="9.125" defaultRowHeight="14.3"/>
  <cols>
    <col width="16.125" customWidth="1" min="1" max="1"/>
    <col width="15.625" customWidth="1" min="2" max="5"/>
    <col width="11.125" customWidth="1" min="6" max="6"/>
    <col width="12.875" customWidth="1" min="7" max="7"/>
    <col width="19.5" bestFit="1" customWidth="1" min="8" max="8"/>
    <col width="13.625" bestFit="1" customWidth="1" min="9" max="9"/>
    <col width="11.125" bestFit="1" customWidth="1" min="10" max="10"/>
    <col width="11.875" customWidth="1" min="11" max="11"/>
    <col width="11.125" customWidth="1" min="12" max="13"/>
    <col width="11.625" customWidth="1" min="14" max="14"/>
    <col width="10.875" customWidth="1" min="15" max="15"/>
    <col width="19.875" bestFit="1" customWidth="1" style="229" min="16" max="16"/>
    <col width="26.875" bestFit="1" customWidth="1" min="17" max="17"/>
    <col width="18.375" bestFit="1" customWidth="1" min="18" max="18"/>
  </cols>
  <sheetData>
    <row r="1">
      <c r="A1" s="169" t="inlineStr">
        <is>
          <t xml:space="preserve">Veículos Cadastrados </t>
        </is>
      </c>
      <c r="B1" s="170" t="n"/>
      <c r="C1" s="170" t="n"/>
      <c r="D1" s="170" t="n"/>
      <c r="E1" s="170" t="n"/>
      <c r="F1" s="170" t="n"/>
      <c r="G1" s="170" t="n"/>
      <c r="H1" s="170" t="n"/>
      <c r="I1" s="170" t="n"/>
      <c r="J1" s="170" t="n"/>
      <c r="K1" s="170" t="n"/>
      <c r="L1" s="170" t="n"/>
      <c r="M1" s="170" t="n"/>
      <c r="N1" s="170" t="n"/>
      <c r="O1" s="170" t="n"/>
      <c r="P1" s="228" t="n"/>
      <c r="Q1" s="171" t="n"/>
      <c r="R1" s="172" t="n"/>
    </row>
    <row r="2">
      <c r="A2" s="193" t="inlineStr">
        <is>
          <t>Tipo</t>
        </is>
      </c>
      <c r="B2" s="193" t="inlineStr">
        <is>
          <t xml:space="preserve">Modelos </t>
        </is>
      </c>
      <c r="C2" s="193" t="inlineStr">
        <is>
          <t>Tag</t>
        </is>
      </c>
      <c r="D2" s="193" t="inlineStr">
        <is>
          <t>Locadora</t>
        </is>
      </c>
      <c r="E2" s="193" t="inlineStr">
        <is>
          <t>Localidade</t>
        </is>
      </c>
      <c r="F2" s="193" t="inlineStr">
        <is>
          <t>Placa</t>
        </is>
      </c>
      <c r="G2" s="193" t="inlineStr">
        <is>
          <t>SSO</t>
        </is>
      </c>
      <c r="H2" s="193" t="inlineStr">
        <is>
          <t>Condutores</t>
        </is>
      </c>
      <c r="I2" s="193" t="inlineStr">
        <is>
          <t>SEMANA S1</t>
        </is>
      </c>
      <c r="J2" s="193" t="inlineStr">
        <is>
          <t>KM INICIAL</t>
        </is>
      </c>
      <c r="K2" s="216" t="inlineStr">
        <is>
          <t>S1</t>
        </is>
      </c>
      <c r="L2" s="216" t="inlineStr">
        <is>
          <t>S2</t>
        </is>
      </c>
      <c r="M2" s="216" t="inlineStr">
        <is>
          <t>S3</t>
        </is>
      </c>
      <c r="N2" s="216" t="inlineStr">
        <is>
          <t>S4</t>
        </is>
      </c>
      <c r="O2" s="216" t="inlineStr">
        <is>
          <t>S5</t>
        </is>
      </c>
      <c r="P2" s="236" t="inlineStr">
        <is>
          <t>ULTIMA LAVAGEM</t>
        </is>
      </c>
      <c r="Q2" s="261" t="inlineStr">
        <is>
          <t>STATUS DA LAVAGEM</t>
        </is>
      </c>
      <c r="R2" s="216" t="inlineStr">
        <is>
          <t>PROX. LAVAGEM</t>
        </is>
      </c>
    </row>
    <row r="3">
      <c r="A3" s="198" t="inlineStr">
        <is>
          <t>Leve</t>
        </is>
      </c>
      <c r="B3" s="198" t="inlineStr">
        <is>
          <t>Nivus</t>
        </is>
      </c>
      <c r="C3" s="238" t="inlineStr">
        <is>
          <t>TN 01</t>
        </is>
      </c>
      <c r="D3" s="198" t="inlineStr">
        <is>
          <t>Localiza</t>
        </is>
      </c>
      <c r="E3" s="198" t="inlineStr">
        <is>
          <t>VALE</t>
        </is>
      </c>
      <c r="F3" s="198" t="inlineStr">
        <is>
          <t>FQQ8B72</t>
        </is>
      </c>
      <c r="G3" s="198" t="inlineStr">
        <is>
          <t>CARAJÁS</t>
        </is>
      </c>
      <c r="H3" s="199" t="inlineStr">
        <is>
          <t>Neto</t>
        </is>
      </c>
      <c r="I3" s="244" t="n">
        <v>46114</v>
      </c>
      <c r="J3" s="207" t="n">
        <v>38911</v>
      </c>
      <c r="K3" s="237" t="inlineStr">
        <is>
          <t xml:space="preserve">Não informado </t>
        </is>
      </c>
      <c r="L3" s="237" t="n">
        <v>39666</v>
      </c>
      <c r="M3" s="282" t="inlineStr">
        <is>
          <t>Manutenção</t>
        </is>
      </c>
      <c r="N3" s="207" t="n">
        <v>39910</v>
      </c>
      <c r="O3" s="207" t="n"/>
      <c r="P3" s="242" t="inlineStr">
        <is>
          <t>13.03.2026</t>
        </is>
      </c>
      <c r="Q3" s="260" t="inlineStr">
        <is>
          <t>EM DIA</t>
        </is>
      </c>
      <c r="R3" s="229" t="inlineStr">
        <is>
          <t>03.04.2026</t>
        </is>
      </c>
    </row>
    <row r="4" customFormat="1" s="19">
      <c r="A4" s="235" t="inlineStr">
        <is>
          <t>Caminhonete</t>
        </is>
      </c>
      <c r="B4" s="235" t="inlineStr">
        <is>
          <t>Hillux</t>
        </is>
      </c>
      <c r="C4" s="238" t="inlineStr">
        <is>
          <t>TN 03</t>
        </is>
      </c>
      <c r="D4" s="235" t="inlineStr">
        <is>
          <t>SINAL</t>
        </is>
      </c>
      <c r="E4" s="235" t="inlineStr">
        <is>
          <t>VALE</t>
        </is>
      </c>
      <c r="F4" s="267" t="inlineStr">
        <is>
          <t>TCD7H75</t>
        </is>
      </c>
      <c r="G4" s="238" t="inlineStr">
        <is>
          <t>CARAJÁS</t>
        </is>
      </c>
      <c r="H4" s="245" t="inlineStr">
        <is>
          <t>Ramiro</t>
        </is>
      </c>
      <c r="I4" s="244" t="n">
        <v>46114</v>
      </c>
      <c r="J4" s="234" t="n">
        <v>41769</v>
      </c>
      <c r="K4" s="237" t="n">
        <v>41898</v>
      </c>
      <c r="L4" s="237" t="n">
        <v>42262</v>
      </c>
      <c r="M4" s="207" t="n">
        <v>42451</v>
      </c>
      <c r="N4" s="234" t="n">
        <v>43036</v>
      </c>
      <c r="O4" s="234" t="n"/>
      <c r="P4" s="242" t="inlineStr">
        <is>
          <t>25.03.2026</t>
        </is>
      </c>
      <c r="Q4" s="260" t="inlineStr">
        <is>
          <t>EM DIA</t>
        </is>
      </c>
      <c r="R4" s="241" t="inlineStr">
        <is>
          <t>03.04.2026</t>
        </is>
      </c>
    </row>
    <row r="5" customFormat="1" s="19">
      <c r="A5" s="235" t="inlineStr">
        <is>
          <t>Caminhonete</t>
        </is>
      </c>
      <c r="B5" s="235" t="inlineStr">
        <is>
          <t>HILLUX</t>
        </is>
      </c>
      <c r="C5" s="235" t="inlineStr">
        <is>
          <t>TN 04</t>
        </is>
      </c>
      <c r="D5" s="235" t="inlineStr">
        <is>
          <t>SINAL</t>
        </is>
      </c>
      <c r="E5" s="235" t="inlineStr">
        <is>
          <t>VALE</t>
        </is>
      </c>
      <c r="F5" s="267" t="inlineStr">
        <is>
          <t>TDM2E37</t>
        </is>
      </c>
      <c r="G5" s="235" t="inlineStr">
        <is>
          <t>CARAJÁS</t>
        </is>
      </c>
      <c r="H5" s="245" t="inlineStr">
        <is>
          <t>Leno</t>
        </is>
      </c>
      <c r="I5" s="244" t="n">
        <v>46114</v>
      </c>
      <c r="J5" s="234" t="n">
        <v>34611</v>
      </c>
      <c r="K5" s="237" t="n">
        <v>35694</v>
      </c>
      <c r="L5" s="237" t="n">
        <v>36435</v>
      </c>
      <c r="M5" s="207" t="n">
        <v>36776</v>
      </c>
      <c r="N5" s="234" t="n">
        <v>37210</v>
      </c>
      <c r="O5" s="234" t="n"/>
      <c r="P5" s="269" t="inlineStr">
        <is>
          <t>20.04.2026</t>
        </is>
      </c>
      <c r="Q5" s="260" t="inlineStr">
        <is>
          <t>EM DIA</t>
        </is>
      </c>
      <c r="R5" s="269" t="inlineStr">
        <is>
          <t>30.04.2026</t>
        </is>
      </c>
    </row>
    <row r="6" customFormat="1" s="19">
      <c r="A6" s="238" t="inlineStr">
        <is>
          <t>Caminhonete</t>
        </is>
      </c>
      <c r="B6" s="238" t="inlineStr">
        <is>
          <t>CHEVROLET S10</t>
        </is>
      </c>
      <c r="C6" s="238" t="inlineStr">
        <is>
          <t>TN 29</t>
        </is>
      </c>
      <c r="D6" s="238" t="inlineStr">
        <is>
          <t>SONDA</t>
        </is>
      </c>
      <c r="E6" s="238" t="inlineStr">
        <is>
          <t>SONDA</t>
        </is>
      </c>
      <c r="F6" s="271" t="inlineStr">
        <is>
          <t>SHX8B70</t>
        </is>
      </c>
      <c r="G6" s="238" t="inlineStr">
        <is>
          <t>CARAJÁS</t>
        </is>
      </c>
      <c r="H6" s="266" t="inlineStr">
        <is>
          <t>João Paulo</t>
        </is>
      </c>
      <c r="I6" s="244" t="n">
        <v>46114</v>
      </c>
      <c r="J6" s="234" t="n">
        <v>55211</v>
      </c>
      <c r="K6" s="237" t="n">
        <v>56394</v>
      </c>
      <c r="L6" s="237" t="n">
        <v>57319</v>
      </c>
      <c r="M6" s="207" t="n">
        <v>57931</v>
      </c>
      <c r="N6" s="234" t="n">
        <v>58768</v>
      </c>
      <c r="O6" s="234" t="n"/>
      <c r="P6" s="269" t="inlineStr">
        <is>
          <t>31.03.2026</t>
        </is>
      </c>
      <c r="Q6" s="260" t="inlineStr">
        <is>
          <t>EM DIA</t>
        </is>
      </c>
      <c r="R6" s="269" t="inlineStr">
        <is>
          <t>29.04.2026</t>
        </is>
      </c>
    </row>
    <row r="7" customFormat="1" s="19">
      <c r="A7" s="235" t="inlineStr">
        <is>
          <t>Caminhonete</t>
        </is>
      </c>
      <c r="B7" s="235" t="inlineStr">
        <is>
          <t>Hillux</t>
        </is>
      </c>
      <c r="C7" s="238" t="inlineStr">
        <is>
          <t>TN 31</t>
        </is>
      </c>
      <c r="D7" s="235" t="inlineStr">
        <is>
          <t>SINAL</t>
        </is>
      </c>
      <c r="E7" s="235" t="inlineStr">
        <is>
          <t>VALE</t>
        </is>
      </c>
      <c r="F7" s="267" t="inlineStr">
        <is>
          <t>TCD7I68</t>
        </is>
      </c>
      <c r="G7" s="238" t="inlineStr">
        <is>
          <t>CARAJÁS</t>
        </is>
      </c>
      <c r="H7" s="245" t="inlineStr">
        <is>
          <t>Robson</t>
        </is>
      </c>
      <c r="I7" s="244" t="n">
        <v>46114</v>
      </c>
      <c r="J7" s="234" t="n">
        <v>34580</v>
      </c>
      <c r="K7" s="237" t="n">
        <v>35263</v>
      </c>
      <c r="L7" s="237" t="n">
        <v>35663</v>
      </c>
      <c r="M7" s="207" t="n">
        <v>36101</v>
      </c>
      <c r="N7" s="234" t="n">
        <v>37510</v>
      </c>
      <c r="O7" s="234" t="n"/>
      <c r="P7" s="269" t="inlineStr">
        <is>
          <t>21.04.2026</t>
        </is>
      </c>
      <c r="Q7" s="260" t="inlineStr">
        <is>
          <t>EM DIA</t>
        </is>
      </c>
      <c r="R7" s="241" t="inlineStr">
        <is>
          <t>29.04.2026</t>
        </is>
      </c>
    </row>
    <row r="8" customFormat="1" s="19">
      <c r="A8" s="235" t="inlineStr">
        <is>
          <t>Caminhonete</t>
        </is>
      </c>
      <c r="B8" s="235" t="inlineStr">
        <is>
          <t xml:space="preserve">FORD RANGER </t>
        </is>
      </c>
      <c r="C8" s="235" t="inlineStr">
        <is>
          <t>TN 72</t>
        </is>
      </c>
      <c r="D8" s="235" t="inlineStr">
        <is>
          <t>SINAL</t>
        </is>
      </c>
      <c r="E8" s="235" t="inlineStr">
        <is>
          <t>SONDA</t>
        </is>
      </c>
      <c r="F8" s="267" t="inlineStr">
        <is>
          <t>FXD9A18</t>
        </is>
      </c>
      <c r="G8" s="238" t="inlineStr">
        <is>
          <t>CARAJÁS</t>
        </is>
      </c>
      <c r="H8" s="245" t="inlineStr">
        <is>
          <t xml:space="preserve">Rosivaldo </t>
        </is>
      </c>
      <c r="I8" s="244" t="n">
        <v>46114</v>
      </c>
      <c r="J8" s="234" t="n">
        <v>124734</v>
      </c>
      <c r="K8" s="281" t="inlineStr">
        <is>
          <t>Manutenção</t>
        </is>
      </c>
      <c r="L8" s="237" t="n">
        <v>125997</v>
      </c>
      <c r="M8" s="207" t="n">
        <v>126498</v>
      </c>
      <c r="N8" s="234" t="inlineStr">
        <is>
          <t>Manutenção</t>
        </is>
      </c>
      <c r="O8" s="234" t="n"/>
      <c r="P8" s="241" t="inlineStr">
        <is>
          <t>07.04.2025</t>
        </is>
      </c>
      <c r="Q8" s="260" t="inlineStr">
        <is>
          <t>EM DIA</t>
        </is>
      </c>
      <c r="R8" s="241" t="inlineStr">
        <is>
          <t>30.01.2026</t>
        </is>
      </c>
    </row>
    <row r="9" customFormat="1" s="19">
      <c r="A9" s="238" t="inlineStr">
        <is>
          <t>Caminhonete</t>
        </is>
      </c>
      <c r="B9" s="238" t="inlineStr">
        <is>
          <t>Strada</t>
        </is>
      </c>
      <c r="C9" s="238" t="inlineStr">
        <is>
          <t>TN 73</t>
        </is>
      </c>
      <c r="D9" s="238" t="inlineStr">
        <is>
          <t>Localiza</t>
        </is>
      </c>
      <c r="E9" s="235" t="inlineStr">
        <is>
          <t>VALE</t>
        </is>
      </c>
      <c r="F9" s="271" t="inlineStr">
        <is>
          <t>TYG3A22</t>
        </is>
      </c>
      <c r="G9" s="238" t="inlineStr">
        <is>
          <t>CARAJÁS</t>
        </is>
      </c>
      <c r="H9" s="248" t="inlineStr">
        <is>
          <t>Waldecyr</t>
        </is>
      </c>
      <c r="I9" s="244" t="n">
        <v>46114</v>
      </c>
      <c r="J9" s="234" t="n">
        <v>73</v>
      </c>
      <c r="K9" s="281" t="inlineStr">
        <is>
          <t>Mobilização</t>
        </is>
      </c>
      <c r="L9" s="237" t="n">
        <v>251</v>
      </c>
      <c r="M9" s="207" t="n">
        <v>660</v>
      </c>
      <c r="N9" s="234" t="n">
        <v>710</v>
      </c>
      <c r="O9" s="234" t="n"/>
      <c r="P9" s="274" t="inlineStr">
        <is>
          <t>12.02.2026</t>
        </is>
      </c>
      <c r="Q9" s="260" t="inlineStr">
        <is>
          <t>EM DIA</t>
        </is>
      </c>
      <c r="R9" s="274" t="inlineStr">
        <is>
          <t>14.03.2026</t>
        </is>
      </c>
    </row>
    <row r="10" customFormat="1" s="19">
      <c r="A10" s="235" t="inlineStr">
        <is>
          <t>Caminhonete</t>
        </is>
      </c>
      <c r="B10" s="235" t="inlineStr">
        <is>
          <t>Hillux</t>
        </is>
      </c>
      <c r="C10" s="238" t="inlineStr">
        <is>
          <t>TN 74</t>
        </is>
      </c>
      <c r="D10" s="235" t="inlineStr">
        <is>
          <t>SINAL</t>
        </is>
      </c>
      <c r="E10" s="235" t="inlineStr">
        <is>
          <t>VALE</t>
        </is>
      </c>
      <c r="F10" s="267" t="inlineStr">
        <is>
          <t>RDM2E33</t>
        </is>
      </c>
      <c r="G10" s="235" t="inlineStr">
        <is>
          <t>CARAJÁS</t>
        </is>
      </c>
      <c r="H10" s="245" t="inlineStr">
        <is>
          <t>Ederson</t>
        </is>
      </c>
      <c r="I10" s="244" t="n">
        <v>46114</v>
      </c>
      <c r="J10" s="234" t="n">
        <v>36130</v>
      </c>
      <c r="K10" s="237" t="n">
        <v>36563</v>
      </c>
      <c r="L10" s="237" t="n">
        <v>37069</v>
      </c>
      <c r="M10" s="207" t="n">
        <v>37489</v>
      </c>
      <c r="N10" s="234" t="n">
        <v>37957</v>
      </c>
      <c r="O10" s="234" t="n"/>
      <c r="P10" s="269" t="inlineStr">
        <is>
          <t>17.04.2026</t>
        </is>
      </c>
      <c r="Q10" s="260" t="inlineStr">
        <is>
          <t>EM DIA</t>
        </is>
      </c>
      <c r="R10" s="269" t="inlineStr">
        <is>
          <t>30.04.2026</t>
        </is>
      </c>
    </row>
    <row r="11" customFormat="1" s="19">
      <c r="A11" s="275" t="inlineStr">
        <is>
          <t>Caminhonete</t>
        </is>
      </c>
      <c r="B11" s="235" t="inlineStr">
        <is>
          <t>Hillux</t>
        </is>
      </c>
      <c r="C11" s="275" t="inlineStr">
        <is>
          <t>TN 76</t>
        </is>
      </c>
      <c r="D11" s="275" t="inlineStr">
        <is>
          <t>SINAL</t>
        </is>
      </c>
      <c r="E11" s="235" t="inlineStr">
        <is>
          <t>VALE</t>
        </is>
      </c>
      <c r="F11" s="276" t="inlineStr">
        <is>
          <t>TCD7H72</t>
        </is>
      </c>
      <c r="G11" s="275" t="inlineStr">
        <is>
          <t>CARAJÁS</t>
        </is>
      </c>
      <c r="H11" s="246" t="inlineStr">
        <is>
          <t>Ramiro</t>
        </is>
      </c>
      <c r="I11" s="244" t="n">
        <v>46114</v>
      </c>
      <c r="J11" s="234" t="n">
        <v>33247</v>
      </c>
      <c r="K11" s="237" t="n">
        <v>34095</v>
      </c>
      <c r="L11" s="237" t="n">
        <v>34751</v>
      </c>
      <c r="M11" s="207" t="n">
        <v>35454</v>
      </c>
      <c r="N11" s="234" t="n">
        <v>36288</v>
      </c>
      <c r="O11" s="234" t="n"/>
      <c r="P11" s="269" t="inlineStr">
        <is>
          <t>18.04.2026</t>
        </is>
      </c>
      <c r="Q11" s="260" t="inlineStr">
        <is>
          <t>EM DIA</t>
        </is>
      </c>
      <c r="R11" s="241" t="inlineStr">
        <is>
          <t>28.04.2026</t>
        </is>
      </c>
    </row>
    <row r="12" customFormat="1" s="19">
      <c r="A12" s="247" t="inlineStr">
        <is>
          <t>Caminhonete</t>
        </is>
      </c>
      <c r="B12" s="278" t="inlineStr">
        <is>
          <t xml:space="preserve">FORD RANGER </t>
        </is>
      </c>
      <c r="C12" s="278" t="inlineStr">
        <is>
          <t>TN 78</t>
        </is>
      </c>
      <c r="D12" s="247" t="inlineStr">
        <is>
          <t>SONDA</t>
        </is>
      </c>
      <c r="E12" s="247" t="inlineStr">
        <is>
          <t>SONDA</t>
        </is>
      </c>
      <c r="F12" s="279" t="inlineStr">
        <is>
          <t xml:space="preserve">FZY4F28 </t>
        </is>
      </c>
      <c r="G12" s="247" t="inlineStr">
        <is>
          <t>CARAJÁS</t>
        </is>
      </c>
      <c r="H12" s="247" t="inlineStr">
        <is>
          <t xml:space="preserve">Gabriel Garcia  </t>
        </is>
      </c>
      <c r="I12" s="244" t="n">
        <v>46114</v>
      </c>
      <c r="J12" s="234" t="n">
        <v>130221</v>
      </c>
      <c r="K12" s="237" t="n">
        <v>131099</v>
      </c>
      <c r="L12" s="237" t="n">
        <v>131822</v>
      </c>
      <c r="M12" s="207" t="n">
        <v>128000</v>
      </c>
      <c r="N12" s="234" t="n">
        <v>133670</v>
      </c>
      <c r="O12" s="234" t="n"/>
      <c r="P12" s="241" t="inlineStr">
        <is>
          <t>21.03.2026</t>
        </is>
      </c>
      <c r="Q12" s="260" t="inlineStr">
        <is>
          <t>EM DIA</t>
        </is>
      </c>
      <c r="R12" s="241" t="inlineStr">
        <is>
          <t>09.04.2026</t>
        </is>
      </c>
    </row>
    <row r="13"/>
    <row r="14">
      <c r="A14" s="169" t="inlineStr">
        <is>
          <t xml:space="preserve">Veículos Cadastrados </t>
        </is>
      </c>
      <c r="B14" s="170" t="n"/>
      <c r="C14" s="170" t="n"/>
      <c r="D14" s="170" t="n"/>
      <c r="E14" s="170" t="n"/>
      <c r="F14" s="255" t="n"/>
      <c r="G14" s="170" t="n"/>
      <c r="H14" s="170" t="n"/>
      <c r="I14" s="170" t="n"/>
      <c r="J14" s="170" t="n"/>
      <c r="K14" s="170" t="n"/>
      <c r="L14" s="170" t="n"/>
      <c r="M14" s="170" t="n"/>
      <c r="N14" s="170" t="n"/>
      <c r="O14" s="170" t="n"/>
      <c r="P14" s="228" t="n"/>
      <c r="Q14" s="171" t="n"/>
      <c r="R14" s="172" t="n"/>
    </row>
    <row r="15" hidden="1">
      <c r="A15" s="193" t="inlineStr">
        <is>
          <t>Tipo</t>
        </is>
      </c>
      <c r="B15" s="193" t="inlineStr">
        <is>
          <t xml:space="preserve">Modelos </t>
        </is>
      </c>
      <c r="C15" s="193" t="inlineStr">
        <is>
          <t>Tag</t>
        </is>
      </c>
      <c r="D15" s="193" t="inlineStr">
        <is>
          <t>Locadora</t>
        </is>
      </c>
      <c r="E15" s="193" t="inlineStr">
        <is>
          <t>Localidade</t>
        </is>
      </c>
      <c r="F15" s="193" t="inlineStr">
        <is>
          <t>Placa</t>
        </is>
      </c>
      <c r="G15" s="193" t="inlineStr">
        <is>
          <t>SSO</t>
        </is>
      </c>
      <c r="H15" s="193" t="inlineStr">
        <is>
          <t>Condutores</t>
        </is>
      </c>
      <c r="I15" s="193" t="inlineStr">
        <is>
          <t>SEMANA 02</t>
        </is>
      </c>
      <c r="J15" s="193" t="inlineStr">
        <is>
          <t>KM TOTAL</t>
        </is>
      </c>
      <c r="K15" s="216" t="inlineStr">
        <is>
          <t>S1</t>
        </is>
      </c>
      <c r="L15" s="216" t="inlineStr">
        <is>
          <t>S2</t>
        </is>
      </c>
      <c r="M15" s="216" t="inlineStr">
        <is>
          <t>S3</t>
        </is>
      </c>
      <c r="N15" s="216" t="inlineStr">
        <is>
          <t>S4</t>
        </is>
      </c>
      <c r="O15" s="216" t="n"/>
      <c r="P15" s="230" t="inlineStr">
        <is>
          <t>ULTIMA LAVAGEM</t>
        </is>
      </c>
      <c r="Q15" s="231" t="inlineStr">
        <is>
          <t xml:space="preserve">LAVAGEM PROGRAMADA </t>
        </is>
      </c>
      <c r="R15" s="232" t="inlineStr">
        <is>
          <t>PROX. LAVAGEM</t>
        </is>
      </c>
    </row>
    <row r="16" hidden="1">
      <c r="A16" s="198" t="inlineStr">
        <is>
          <t>Leve</t>
        </is>
      </c>
      <c r="B16" s="198" t="inlineStr">
        <is>
          <t>Tracker</t>
        </is>
      </c>
      <c r="C16" s="198" t="inlineStr">
        <is>
          <t>TN 01</t>
        </is>
      </c>
      <c r="D16" s="198" t="inlineStr">
        <is>
          <t>Localiza</t>
        </is>
      </c>
      <c r="E16" s="198" t="inlineStr">
        <is>
          <t>CKS</t>
        </is>
      </c>
      <c r="F16" s="198" t="inlineStr">
        <is>
          <t>TCO2C15</t>
        </is>
      </c>
      <c r="G16" s="198" t="inlineStr">
        <is>
          <t>CARAJÁS</t>
        </is>
      </c>
      <c r="H16" s="200" t="inlineStr">
        <is>
          <t>Fabricio Maia</t>
        </is>
      </c>
      <c r="I16" s="161" t="n">
        <v>45912</v>
      </c>
      <c r="J16" s="201">
        <f>SUM(K16:N16)</f>
        <v/>
      </c>
      <c r="K16" s="207">
        <f>K3-$J3</f>
        <v/>
      </c>
      <c r="L16" s="207">
        <f>L3-$J3</f>
        <v/>
      </c>
      <c r="M16" s="207">
        <f>M3-$J3</f>
        <v/>
      </c>
      <c r="N16" s="207">
        <f>N3-$J3</f>
        <v/>
      </c>
      <c r="O16" s="207" t="n"/>
      <c r="P16" s="141" t="n">
        <v>45891</v>
      </c>
      <c r="Q16" s="218" t="n"/>
      <c r="R16" s="98" t="n"/>
    </row>
    <row r="17" hidden="1">
      <c r="A17" s="198" t="inlineStr">
        <is>
          <t>Caminhonete</t>
        </is>
      </c>
      <c r="B17" s="198" t="inlineStr">
        <is>
          <t>Hillux</t>
        </is>
      </c>
      <c r="C17" s="198" t="inlineStr">
        <is>
          <t>TN 03</t>
        </is>
      </c>
      <c r="D17" s="198" t="inlineStr">
        <is>
          <t>SINAL</t>
        </is>
      </c>
      <c r="E17" s="198" t="inlineStr">
        <is>
          <t>CKS</t>
        </is>
      </c>
      <c r="F17" s="198" t="inlineStr">
        <is>
          <t>TCD7H75</t>
        </is>
      </c>
      <c r="G17" s="197" t="inlineStr">
        <is>
          <t>CARAJÁS</t>
        </is>
      </c>
      <c r="H17" s="199" t="inlineStr">
        <is>
          <t>Lucas</t>
        </is>
      </c>
      <c r="I17" s="161" t="n">
        <v>45912</v>
      </c>
      <c r="J17" s="201">
        <f>SUM(K17:N17)</f>
        <v/>
      </c>
      <c r="K17" s="207">
        <f>K4-$J4</f>
        <v/>
      </c>
      <c r="L17" s="207">
        <f>L4-$J4</f>
        <v/>
      </c>
      <c r="M17" s="207">
        <f>M4-$J4</f>
        <v/>
      </c>
      <c r="N17" s="207">
        <f>N4-$J4</f>
        <v/>
      </c>
      <c r="O17" s="207" t="n"/>
      <c r="P17" s="141" t="n">
        <v>45896</v>
      </c>
      <c r="Q17" s="218" t="inlineStr">
        <is>
          <t>pendente</t>
        </is>
      </c>
      <c r="R17" s="99" t="n">
        <v>45921</v>
      </c>
    </row>
    <row r="18" hidden="1">
      <c r="A18" s="198" t="inlineStr">
        <is>
          <t>Caminhonete</t>
        </is>
      </c>
      <c r="B18" s="198" t="inlineStr">
        <is>
          <t>HILLUX</t>
        </is>
      </c>
      <c r="C18" s="198" t="inlineStr">
        <is>
          <t>TN 04</t>
        </is>
      </c>
      <c r="D18" s="198" t="inlineStr">
        <is>
          <t>SINAL</t>
        </is>
      </c>
      <c r="E18" s="198" t="inlineStr">
        <is>
          <t>CKS</t>
        </is>
      </c>
      <c r="F18" s="198" t="inlineStr">
        <is>
          <t>TDM2E37</t>
        </is>
      </c>
      <c r="G18" s="198" t="inlineStr">
        <is>
          <t>CARAJÁS</t>
        </is>
      </c>
      <c r="H18" s="200" t="inlineStr">
        <is>
          <t>MATHEUS</t>
        </is>
      </c>
      <c r="I18" s="161" t="n">
        <v>45912</v>
      </c>
      <c r="J18" s="201">
        <f>SUM(K18:N18)</f>
        <v/>
      </c>
      <c r="K18" s="207">
        <f>K5-$J5</f>
        <v/>
      </c>
      <c r="L18" s="207">
        <f>L5-$J5</f>
        <v/>
      </c>
      <c r="M18" s="207">
        <f>M5-$J5</f>
        <v/>
      </c>
      <c r="N18" s="207">
        <f>N5-$J5</f>
        <v/>
      </c>
      <c r="O18" s="207" t="n"/>
      <c r="P18" s="141" t="n">
        <v>45908</v>
      </c>
      <c r="Q18" s="182" t="inlineStr">
        <is>
          <t>ok</t>
        </is>
      </c>
      <c r="R18" s="99" t="n">
        <v>45919</v>
      </c>
    </row>
    <row r="19" hidden="1">
      <c r="A19" s="197" t="inlineStr">
        <is>
          <t>Caminhonete</t>
        </is>
      </c>
      <c r="B19" s="197" t="inlineStr">
        <is>
          <t>CHEVROLET S10</t>
        </is>
      </c>
      <c r="C19" s="198" t="inlineStr">
        <is>
          <t>TN 29</t>
        </is>
      </c>
      <c r="D19" s="197" t="inlineStr">
        <is>
          <t>Sonda</t>
        </is>
      </c>
      <c r="E19" s="197" t="inlineStr">
        <is>
          <t>CKS</t>
        </is>
      </c>
      <c r="F19" s="197" t="inlineStr">
        <is>
          <t>FXR0F35</t>
        </is>
      </c>
      <c r="G19" s="197" t="inlineStr">
        <is>
          <t>CARAJÁS</t>
        </is>
      </c>
      <c r="H19" s="199" t="inlineStr">
        <is>
          <t>JOÃO TAVARES</t>
        </is>
      </c>
      <c r="I19" s="161" t="n">
        <v>45912</v>
      </c>
      <c r="J19" s="201">
        <f>SUM(K19:N19)</f>
        <v/>
      </c>
      <c r="K19" s="207">
        <f>K6-$J6</f>
        <v/>
      </c>
      <c r="L19" s="207">
        <f>L6-$J6</f>
        <v/>
      </c>
      <c r="M19" s="207">
        <f>M6-$J6</f>
        <v/>
      </c>
      <c r="N19" s="207">
        <f>N6-$J6</f>
        <v/>
      </c>
      <c r="O19" s="207" t="n"/>
      <c r="P19" s="141" t="n">
        <v>45916</v>
      </c>
      <c r="Q19" s="182" t="inlineStr">
        <is>
          <t>ok</t>
        </is>
      </c>
      <c r="R19" s="99" t="n">
        <v>45924</v>
      </c>
    </row>
    <row r="20" hidden="1">
      <c r="A20" s="198" t="inlineStr">
        <is>
          <t>Caminhonete</t>
        </is>
      </c>
      <c r="B20" s="198" t="inlineStr">
        <is>
          <t>Hillux</t>
        </is>
      </c>
      <c r="C20" s="198" t="inlineStr">
        <is>
          <t>TN 31</t>
        </is>
      </c>
      <c r="D20" s="198" t="inlineStr">
        <is>
          <t>SINAL</t>
        </is>
      </c>
      <c r="E20" s="198" t="inlineStr">
        <is>
          <t>CKS</t>
        </is>
      </c>
      <c r="F20" s="198" t="inlineStr">
        <is>
          <t>TCD7I68</t>
        </is>
      </c>
      <c r="G20" s="197" t="inlineStr">
        <is>
          <t>CARAJÁS</t>
        </is>
      </c>
      <c r="H20" s="199" t="inlineStr">
        <is>
          <t>Lucas</t>
        </is>
      </c>
      <c r="I20" s="161" t="n">
        <v>45912</v>
      </c>
      <c r="J20" s="201">
        <f>SUM(K20:N20)</f>
        <v/>
      </c>
      <c r="K20" s="207">
        <f>K7-$J7</f>
        <v/>
      </c>
      <c r="L20" s="207">
        <f>L7-$J7</f>
        <v/>
      </c>
      <c r="M20" s="207">
        <f>M7-$J7</f>
        <v/>
      </c>
      <c r="N20" s="207">
        <f>N7-$J7</f>
        <v/>
      </c>
      <c r="O20" s="207" t="n"/>
      <c r="P20" s="141" t="n">
        <v>45901</v>
      </c>
      <c r="Q20" s="182" t="inlineStr">
        <is>
          <t>pendente</t>
        </is>
      </c>
      <c r="R20" s="99" t="n">
        <v>45920</v>
      </c>
    </row>
    <row r="21" hidden="1">
      <c r="A21" s="198" t="inlineStr">
        <is>
          <t>Caminhonete</t>
        </is>
      </c>
      <c r="B21" s="198" t="inlineStr">
        <is>
          <t xml:space="preserve">FORD RANGER </t>
        </is>
      </c>
      <c r="C21" s="198" t="inlineStr">
        <is>
          <t>TN 72</t>
        </is>
      </c>
      <c r="D21" s="198" t="inlineStr">
        <is>
          <t>Sonda</t>
        </is>
      </c>
      <c r="E21" s="198" t="inlineStr">
        <is>
          <t>CKS</t>
        </is>
      </c>
      <c r="F21" s="198" t="inlineStr">
        <is>
          <t>FXD9A18</t>
        </is>
      </c>
      <c r="G21" s="197" t="inlineStr">
        <is>
          <t>CARAJÁS</t>
        </is>
      </c>
      <c r="H21" s="199" t="inlineStr">
        <is>
          <t>RAIMUNDO CHARLES</t>
        </is>
      </c>
      <c r="I21" s="161" t="n">
        <v>45912</v>
      </c>
      <c r="J21" s="201">
        <f>SUM(K21:N21)</f>
        <v/>
      </c>
      <c r="K21" s="207">
        <f>K8-$J8</f>
        <v/>
      </c>
      <c r="L21" s="207">
        <f>L8-$J8</f>
        <v/>
      </c>
      <c r="M21" s="207">
        <f>M8-$J8</f>
        <v/>
      </c>
      <c r="N21" s="207">
        <f>N8-$J8</f>
        <v/>
      </c>
      <c r="O21" s="207" t="n"/>
      <c r="P21" s="141" t="n">
        <v>45904</v>
      </c>
      <c r="Q21" s="218" t="inlineStr">
        <is>
          <t>pendente</t>
        </is>
      </c>
      <c r="R21" s="99" t="n">
        <v>45926</v>
      </c>
    </row>
    <row r="22" hidden="1">
      <c r="A22" s="197" t="inlineStr">
        <is>
          <t>Caminhonete</t>
        </is>
      </c>
      <c r="B22" s="197" t="inlineStr">
        <is>
          <t>Hillux</t>
        </is>
      </c>
      <c r="C22" s="198" t="inlineStr">
        <is>
          <t>TN 73</t>
        </is>
      </c>
      <c r="D22" s="197" t="inlineStr">
        <is>
          <t>SINAL</t>
        </is>
      </c>
      <c r="E22" s="197" t="inlineStr">
        <is>
          <t>CKS</t>
        </is>
      </c>
      <c r="F22" s="197" t="inlineStr">
        <is>
          <t>TCD7H73</t>
        </is>
      </c>
      <c r="G22" s="197" t="inlineStr">
        <is>
          <t>CARAJÁS</t>
        </is>
      </c>
      <c r="H22" s="199" t="inlineStr">
        <is>
          <t>William</t>
        </is>
      </c>
      <c r="I22" s="161" t="n">
        <v>45912</v>
      </c>
      <c r="J22" s="201">
        <f>SUM(K22:N22)</f>
        <v/>
      </c>
      <c r="K22" s="207">
        <f>K9-$J9</f>
        <v/>
      </c>
      <c r="L22" s="207">
        <f>L9-$J9</f>
        <v/>
      </c>
      <c r="M22" s="207">
        <f>M9-$J9</f>
        <v/>
      </c>
      <c r="N22" s="207">
        <f>N9-$J9</f>
        <v/>
      </c>
      <c r="O22" s="251" t="n"/>
      <c r="P22" s="59" t="n">
        <v>45905</v>
      </c>
      <c r="Q22" s="184" t="inlineStr">
        <is>
          <t>pendente</t>
        </is>
      </c>
      <c r="R22" s="99" t="n">
        <v>45924</v>
      </c>
    </row>
    <row r="23" hidden="1">
      <c r="A23" s="198" t="inlineStr">
        <is>
          <t>Caminhonete</t>
        </is>
      </c>
      <c r="B23" s="198" t="inlineStr">
        <is>
          <t>Ranger</t>
        </is>
      </c>
      <c r="C23" s="198" t="inlineStr">
        <is>
          <t>TN 74</t>
        </is>
      </c>
      <c r="D23" s="198" t="inlineStr">
        <is>
          <t>SONDA</t>
        </is>
      </c>
      <c r="E23" s="198" t="inlineStr">
        <is>
          <t>CKS</t>
        </is>
      </c>
      <c r="F23" s="198" t="inlineStr">
        <is>
          <t>RDM2E33</t>
        </is>
      </c>
      <c r="G23" s="198" t="inlineStr">
        <is>
          <t>CARAJÁS</t>
        </is>
      </c>
      <c r="H23" s="200" t="inlineStr">
        <is>
          <t>Ederson</t>
        </is>
      </c>
      <c r="I23" s="161" t="n">
        <v>45912</v>
      </c>
      <c r="J23" s="201">
        <f>SUM(K23:N23)</f>
        <v/>
      </c>
      <c r="K23" s="207">
        <f>K10-$J10</f>
        <v/>
      </c>
      <c r="L23" s="207">
        <f>L10-$J10</f>
        <v/>
      </c>
      <c r="M23" s="207">
        <f>M10-$J10</f>
        <v/>
      </c>
      <c r="N23" s="207">
        <f>N10-$J10</f>
        <v/>
      </c>
      <c r="O23" s="207" t="n"/>
      <c r="P23" s="141" t="n">
        <v>45918</v>
      </c>
      <c r="Q23" s="184" t="inlineStr">
        <is>
          <t>ok</t>
        </is>
      </c>
      <c r="R23" s="99" t="n">
        <v>45923</v>
      </c>
    </row>
    <row r="24" hidden="1">
      <c r="A24" s="209" t="inlineStr">
        <is>
          <t>Caminhonete</t>
        </is>
      </c>
      <c r="B24" s="209" t="inlineStr">
        <is>
          <t>NISSAN FRONTIER</t>
        </is>
      </c>
      <c r="C24" s="209" t="inlineStr">
        <is>
          <t>TN 76</t>
        </is>
      </c>
      <c r="D24" s="209" t="inlineStr">
        <is>
          <t>SINAL</t>
        </is>
      </c>
      <c r="E24" s="209" t="inlineStr">
        <is>
          <t>CKS</t>
        </is>
      </c>
      <c r="F24" s="209" t="inlineStr">
        <is>
          <t>TCD7H72</t>
        </is>
      </c>
      <c r="G24" s="209" t="inlineStr">
        <is>
          <t>CARAJÁS</t>
        </is>
      </c>
      <c r="H24" s="217" t="inlineStr">
        <is>
          <t>Renan</t>
        </is>
      </c>
      <c r="I24" s="161" t="n">
        <v>45912</v>
      </c>
      <c r="J24" s="201">
        <f>SUM(K24:N24)</f>
        <v/>
      </c>
      <c r="K24" s="207">
        <f>K11-$J11</f>
        <v/>
      </c>
      <c r="L24" s="207">
        <f>L11-$J11</f>
        <v/>
      </c>
      <c r="M24" s="207">
        <f>M11-$J11</f>
        <v/>
      </c>
      <c r="N24" s="207">
        <f>N11-$J11</f>
        <v/>
      </c>
      <c r="O24" s="207" t="n"/>
      <c r="P24" s="141" t="n">
        <v>45901</v>
      </c>
      <c r="Q24" s="184" t="inlineStr">
        <is>
          <t>pendente</t>
        </is>
      </c>
      <c r="R24" s="99" t="n">
        <v>45922</v>
      </c>
    </row>
    <row r="25" hidden="1">
      <c r="A25" s="202" t="inlineStr">
        <is>
          <t>Caminhonete</t>
        </is>
      </c>
      <c r="B25" s="204" t="inlineStr">
        <is>
          <t>NISSAN FRONTIER</t>
        </is>
      </c>
      <c r="C25" s="204" t="inlineStr">
        <is>
          <t>TN78</t>
        </is>
      </c>
      <c r="D25" s="202" t="inlineStr">
        <is>
          <t>SONDA</t>
        </is>
      </c>
      <c r="E25" s="202" t="inlineStr">
        <is>
          <t>CKS</t>
        </is>
      </c>
      <c r="F25" s="202" t="inlineStr">
        <is>
          <t xml:space="preserve">FZY4F28 </t>
        </is>
      </c>
      <c r="G25" s="202" t="inlineStr">
        <is>
          <t>CARAJÁS</t>
        </is>
      </c>
      <c r="H25" s="202" t="inlineStr">
        <is>
          <t>Ederson</t>
        </is>
      </c>
      <c r="I25" s="161" t="n">
        <v>45912</v>
      </c>
      <c r="J25" s="201">
        <f>SUM(K25:N25)</f>
        <v/>
      </c>
      <c r="K25" s="207">
        <f>K12-$J12</f>
        <v/>
      </c>
      <c r="L25" s="207">
        <f>L12-$J12</f>
        <v/>
      </c>
      <c r="M25" s="207">
        <f>M12-$J12</f>
        <v/>
      </c>
      <c r="N25" s="207">
        <f>N12-$J12</f>
        <v/>
      </c>
      <c r="O25" s="207" t="n"/>
      <c r="P25" s="141" t="n">
        <v>45905</v>
      </c>
      <c r="Q25" s="184" t="inlineStr">
        <is>
          <t>pendente</t>
        </is>
      </c>
      <c r="R25" s="99" t="n">
        <v>45922</v>
      </c>
    </row>
    <row r="26" ht="14.95" customHeight="1" thickBot="1"/>
    <row r="27" ht="28.55" customHeight="1">
      <c r="A27" s="319" t="inlineStr">
        <is>
          <t>ACOMPANHAMENTO KM SEMANA</t>
        </is>
      </c>
      <c r="B27" s="328" t="n"/>
      <c r="C27" s="328" t="n"/>
      <c r="D27" s="328" t="n"/>
      <c r="E27" s="328" t="n"/>
      <c r="F27" s="226" t="n"/>
      <c r="G27" s="250" t="inlineStr">
        <is>
          <t>ULTIMA LAVAGEM</t>
        </is>
      </c>
      <c r="H27" s="259" t="inlineStr">
        <is>
          <t>Proxima Lavagem</t>
        </is>
      </c>
    </row>
    <row r="28" ht="14.95" customHeight="1" thickBot="1">
      <c r="A28" s="227" t="inlineStr">
        <is>
          <t>TAG</t>
        </is>
      </c>
      <c r="B28" s="222" t="inlineStr">
        <is>
          <t>S1</t>
        </is>
      </c>
      <c r="C28" s="222" t="inlineStr">
        <is>
          <t>S2</t>
        </is>
      </c>
      <c r="D28" s="222" t="inlineStr">
        <is>
          <t>S3</t>
        </is>
      </c>
      <c r="E28" s="223" t="inlineStr">
        <is>
          <t>S4</t>
        </is>
      </c>
      <c r="F28" s="223" t="inlineStr">
        <is>
          <t>S5</t>
        </is>
      </c>
      <c r="G28" s="224" t="inlineStr">
        <is>
          <t>ACUM.</t>
        </is>
      </c>
      <c r="H28" s="225" t="n"/>
      <c r="Q28" s="229" t="n"/>
    </row>
    <row r="29" ht="14.95" customHeight="1" thickBot="1">
      <c r="A29" s="252" t="inlineStr">
        <is>
          <t>TN 01</t>
        </is>
      </c>
      <c r="B29" s="253" t="n"/>
      <c r="C29" s="254" t="n">
        <v>755</v>
      </c>
      <c r="D29" s="254" t="n"/>
      <c r="E29" s="254" t="n">
        <v>244</v>
      </c>
      <c r="F29" s="254" t="n"/>
      <c r="G29" s="257" t="n">
        <v>999</v>
      </c>
      <c r="H29" s="239">
        <f>R3</f>
        <v/>
      </c>
      <c r="Q29" s="229" t="n"/>
    </row>
    <row r="30" ht="14.95" customHeight="1" thickBot="1">
      <c r="A30" s="219" t="inlineStr">
        <is>
          <t>TN 03</t>
        </is>
      </c>
      <c r="B30" s="253" t="n">
        <v>129</v>
      </c>
      <c r="C30" s="254" t="n">
        <v>364</v>
      </c>
      <c r="D30" s="254" t="n">
        <v>189</v>
      </c>
      <c r="E30" s="254" t="n">
        <v>585</v>
      </c>
      <c r="F30" s="254" t="n"/>
      <c r="G30" s="257" t="n">
        <v>1267</v>
      </c>
      <c r="H30" s="239">
        <f>R4</f>
        <v/>
      </c>
      <c r="Q30" s="229" t="n"/>
    </row>
    <row r="31" ht="14.95" customHeight="1" thickBot="1">
      <c r="A31" s="219" t="inlineStr">
        <is>
          <t>TN 04</t>
        </is>
      </c>
      <c r="B31" s="253" t="n">
        <v>1083</v>
      </c>
      <c r="C31" s="254" t="n">
        <v>741</v>
      </c>
      <c r="D31" s="254" t="n">
        <v>341</v>
      </c>
      <c r="E31" s="254" t="n">
        <v>434</v>
      </c>
      <c r="F31" s="254" t="n"/>
      <c r="G31" s="257" t="n">
        <v>2599</v>
      </c>
      <c r="H31" s="239">
        <f>R5</f>
        <v/>
      </c>
      <c r="Q31" s="229" t="n"/>
    </row>
    <row r="32" ht="14.95" customHeight="1" thickBot="1">
      <c r="A32" s="219" t="inlineStr">
        <is>
          <t>TN 29</t>
        </is>
      </c>
      <c r="B32" s="253" t="n">
        <v>1183</v>
      </c>
      <c r="C32" s="254" t="n">
        <v>925</v>
      </c>
      <c r="D32" s="254" t="n">
        <v>612</v>
      </c>
      <c r="E32" s="254" t="n">
        <v>837</v>
      </c>
      <c r="F32" s="254" t="n"/>
      <c r="G32" s="257" t="n">
        <v>3557</v>
      </c>
      <c r="H32" s="239">
        <f>R6</f>
        <v/>
      </c>
      <c r="Q32" s="229" t="n"/>
    </row>
    <row r="33" ht="14.95" customHeight="1" thickBot="1">
      <c r="A33" s="219" t="inlineStr">
        <is>
          <t>TN 31</t>
        </is>
      </c>
      <c r="B33" s="253" t="n">
        <v>683</v>
      </c>
      <c r="C33" s="254" t="n">
        <v>400</v>
      </c>
      <c r="D33" s="254" t="n">
        <v>438</v>
      </c>
      <c r="E33" s="254" t="n">
        <v>1409</v>
      </c>
      <c r="F33" s="254" t="n"/>
      <c r="G33" s="257" t="n">
        <v>2930</v>
      </c>
      <c r="H33" s="239">
        <f>R7</f>
        <v/>
      </c>
      <c r="Q33" s="229" t="n"/>
    </row>
    <row r="34" ht="14.95" customHeight="1" thickBot="1">
      <c r="A34" s="219" t="inlineStr">
        <is>
          <t>TN 72</t>
        </is>
      </c>
      <c r="B34" s="253" t="n"/>
      <c r="C34" s="254" t="n">
        <v>1263</v>
      </c>
      <c r="D34" s="254" t="n">
        <v>501</v>
      </c>
      <c r="E34" s="254" t="n"/>
      <c r="F34" s="254" t="n"/>
      <c r="G34" s="257" t="n">
        <v>1764</v>
      </c>
      <c r="H34" s="239">
        <f>R8</f>
        <v/>
      </c>
      <c r="Q34" s="229" t="n"/>
    </row>
    <row r="35" ht="14.95" customHeight="1" thickBot="1">
      <c r="A35" s="219" t="inlineStr">
        <is>
          <t>TN 73</t>
        </is>
      </c>
      <c r="B35" s="253" t="n"/>
      <c r="C35" s="254" t="n">
        <v>178</v>
      </c>
      <c r="D35" s="254" t="n">
        <v>409</v>
      </c>
      <c r="E35" s="254" t="n">
        <v>50</v>
      </c>
      <c r="F35" s="254" t="n"/>
      <c r="G35" s="257" t="n">
        <v>637</v>
      </c>
      <c r="H35" s="239">
        <f>R9</f>
        <v/>
      </c>
      <c r="Q35" s="229" t="n"/>
    </row>
    <row r="36" ht="14.95" customHeight="1" thickBot="1">
      <c r="A36" s="219" t="inlineStr">
        <is>
          <t>TN 74</t>
        </is>
      </c>
      <c r="B36" s="253" t="n">
        <v>433</v>
      </c>
      <c r="C36" s="254" t="n">
        <v>506</v>
      </c>
      <c r="D36" s="254" t="n">
        <v>420</v>
      </c>
      <c r="E36" s="254" t="n">
        <v>468</v>
      </c>
      <c r="F36" s="254" t="n"/>
      <c r="G36" s="257" t="n">
        <v>1827</v>
      </c>
      <c r="H36" s="239">
        <f>R10</f>
        <v/>
      </c>
      <c r="Q36" s="229" t="n"/>
    </row>
    <row r="37" ht="14.95" customHeight="1" thickBot="1">
      <c r="A37" s="220" t="inlineStr">
        <is>
          <t>TN 76</t>
        </is>
      </c>
      <c r="B37" s="253" t="n">
        <v>848</v>
      </c>
      <c r="C37" s="254" t="n">
        <v>656</v>
      </c>
      <c r="D37" s="254" t="n">
        <v>703</v>
      </c>
      <c r="E37" s="254" t="n">
        <v>834</v>
      </c>
      <c r="F37" s="254" t="n"/>
      <c r="G37" s="257" t="n">
        <v>3041</v>
      </c>
      <c r="H37" s="239">
        <f>R11</f>
        <v/>
      </c>
      <c r="Q37" s="229" t="n"/>
    </row>
    <row r="38" ht="14.95" customHeight="1" thickBot="1">
      <c r="A38" s="221" t="inlineStr">
        <is>
          <t>TN78</t>
        </is>
      </c>
      <c r="B38" s="253" t="n">
        <v>878</v>
      </c>
      <c r="C38" s="254" t="n">
        <v>723</v>
      </c>
      <c r="D38" s="254" t="n"/>
      <c r="E38" s="254" t="n">
        <v>5670</v>
      </c>
      <c r="F38" s="254" t="n"/>
      <c r="G38" s="257" t="n">
        <v>3449</v>
      </c>
      <c r="H38" s="239">
        <f>R12</f>
        <v/>
      </c>
      <c r="Q38" s="229" t="n"/>
    </row>
  </sheetData>
  <autoFilter ref="A2:R12">
    <sortState ref="A3:R12">
      <sortCondition ref="C2"/>
    </sortState>
  </autoFilter>
  <mergeCells count="1">
    <mergeCell ref="A27:E27"/>
  </mergeCells>
  <conditionalFormatting sqref="B29:B38 C30:E30 E31:E38 F30:G38">
    <cfRule type="cellIs" priority="16" operator="between" dxfId="8">
      <formula>1</formula>
      <formula>299</formula>
    </cfRule>
    <cfRule type="cellIs" priority="14" operator="greaterThan" dxfId="1">
      <formula>500</formula>
    </cfRule>
    <cfRule type="cellIs" priority="15" operator="between" dxfId="2">
      <formula>300</formula>
      <formula>500</formula>
    </cfRule>
  </conditionalFormatting>
  <conditionalFormatting sqref="B29:G38">
    <cfRule type="cellIs" priority="17" operator="equal">
      <formula>0</formula>
    </cfRule>
  </conditionalFormatting>
  <conditionalFormatting sqref="C29:G38">
    <cfRule type="cellIs" priority="11" operator="between" dxfId="8">
      <formula>1</formula>
      <formula>600</formula>
    </cfRule>
    <cfRule type="cellIs" priority="12" operator="between" dxfId="2">
      <formula>600</formula>
      <formula>1000</formula>
    </cfRule>
    <cfRule type="cellIs" priority="13" operator="greaterThan" dxfId="1">
      <formula>1000</formula>
    </cfRule>
  </conditionalFormatting>
  <conditionalFormatting sqref="D29:G38">
    <cfRule type="cellIs" priority="8" operator="greaterThan" dxfId="1">
      <formula>1501</formula>
    </cfRule>
    <cfRule type="cellIs" priority="9" operator="between" dxfId="8">
      <formula>1</formula>
      <formula>900</formula>
    </cfRule>
    <cfRule type="cellIs" priority="10" operator="between" dxfId="2">
      <formula>900</formula>
      <formula>1500</formula>
    </cfRule>
  </conditionalFormatting>
  <conditionalFormatting sqref="E30:F38">
    <cfRule type="cellIs" priority="7" operator="greaterThan" dxfId="1">
      <formula>2000</formula>
    </cfRule>
  </conditionalFormatting>
  <conditionalFormatting sqref="E30:F38 G29:G38">
    <cfRule type="cellIs" priority="5" operator="between" dxfId="2">
      <formula>1201</formula>
      <formula>2000</formula>
    </cfRule>
    <cfRule type="cellIs" priority="6" operator="between" dxfId="1">
      <formula>1</formula>
      <formula>1200</formula>
    </cfRule>
  </conditionalFormatting>
  <conditionalFormatting sqref="G29:G38">
    <cfRule type="cellIs" priority="1" operator="between" dxfId="2">
      <formula>1500</formula>
      <formula>2000</formula>
    </cfRule>
    <cfRule type="cellIs" priority="2" operator="between" dxfId="2">
      <formula>1200</formula>
      <formula>2000</formula>
    </cfRule>
    <cfRule type="cellIs" priority="3" operator="greaterThan" dxfId="1">
      <formula>2000</formula>
    </cfRule>
  </conditionalFormatting>
  <conditionalFormatting sqref="H29:H38">
    <cfRule type="cellIs" priority="4" operator="lessThan" dxfId="0">
      <formula>$H$28</formula>
    </cfRule>
  </conditionalFormatting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R38"/>
  <sheetViews>
    <sheetView view="pageBreakPreview" zoomScale="101" zoomScaleNormal="90" zoomScaleSheetLayoutView="120" workbookViewId="0">
      <selection activeCell="R3" sqref="R3"/>
    </sheetView>
  </sheetViews>
  <sheetFormatPr baseColWidth="8" defaultColWidth="9.125" defaultRowHeight="14.3"/>
  <cols>
    <col width="16.125" customWidth="1" min="1" max="1"/>
    <col width="15.625" customWidth="1" min="2" max="5"/>
    <col width="11.125" customWidth="1" min="6" max="6"/>
    <col width="12.875" customWidth="1" min="7" max="7"/>
    <col width="19.5" bestFit="1" customWidth="1" min="8" max="8"/>
    <col width="13.625" bestFit="1" customWidth="1" min="9" max="9"/>
    <col width="11.125" bestFit="1" customWidth="1" min="10" max="10"/>
    <col width="11.125" customWidth="1" min="11" max="13"/>
    <col width="16.375" customWidth="1" min="14" max="15"/>
    <col width="19.875" bestFit="1" customWidth="1" style="229" min="16" max="16"/>
    <col width="26.875" bestFit="1" customWidth="1" min="17" max="17"/>
    <col width="18.375" bestFit="1" customWidth="1" min="18" max="18"/>
  </cols>
  <sheetData>
    <row r="1">
      <c r="A1" s="169" t="inlineStr">
        <is>
          <t xml:space="preserve">Veículos Cadastrados </t>
        </is>
      </c>
      <c r="B1" s="170" t="n"/>
      <c r="C1" s="170" t="n"/>
      <c r="D1" s="170" t="n"/>
      <c r="E1" s="170" t="n"/>
      <c r="F1" s="170" t="n"/>
      <c r="G1" s="170" t="n"/>
      <c r="H1" s="170" t="n"/>
      <c r="I1" s="170" t="n"/>
      <c r="J1" s="170" t="n"/>
      <c r="K1" s="170" t="n"/>
      <c r="L1" s="170" t="n"/>
      <c r="M1" s="170" t="n"/>
      <c r="N1" s="170" t="n"/>
      <c r="O1" s="170" t="n"/>
      <c r="P1" s="228" t="n"/>
      <c r="Q1" s="171" t="n"/>
      <c r="R1" s="172" t="n"/>
    </row>
    <row r="2">
      <c r="A2" s="193" t="inlineStr">
        <is>
          <t>Tipo</t>
        </is>
      </c>
      <c r="B2" s="193" t="inlineStr">
        <is>
          <t xml:space="preserve">Modelos </t>
        </is>
      </c>
      <c r="C2" s="193" t="inlineStr">
        <is>
          <t>Tag</t>
        </is>
      </c>
      <c r="D2" s="193" t="inlineStr">
        <is>
          <t>Locadora</t>
        </is>
      </c>
      <c r="E2" s="193" t="inlineStr">
        <is>
          <t>Localidade</t>
        </is>
      </c>
      <c r="F2" s="193" t="inlineStr">
        <is>
          <t>Placa</t>
        </is>
      </c>
      <c r="G2" s="193" t="inlineStr">
        <is>
          <t>SSO</t>
        </is>
      </c>
      <c r="H2" s="193" t="inlineStr">
        <is>
          <t>Condutores</t>
        </is>
      </c>
      <c r="I2" s="193" t="inlineStr">
        <is>
          <t>SEMANA S1</t>
        </is>
      </c>
      <c r="J2" s="193" t="inlineStr">
        <is>
          <t>KM INICIAL</t>
        </is>
      </c>
      <c r="K2" s="216" t="inlineStr">
        <is>
          <t>S1</t>
        </is>
      </c>
      <c r="L2" s="216" t="inlineStr">
        <is>
          <t>S2</t>
        </is>
      </c>
      <c r="M2" s="216" t="inlineStr">
        <is>
          <t>S3</t>
        </is>
      </c>
      <c r="N2" s="216" t="inlineStr">
        <is>
          <t>S4</t>
        </is>
      </c>
      <c r="O2" s="216" t="inlineStr">
        <is>
          <t>S5</t>
        </is>
      </c>
      <c r="P2" s="236" t="inlineStr">
        <is>
          <t>ULTIMA LAVAGEM</t>
        </is>
      </c>
      <c r="Q2" s="261" t="inlineStr">
        <is>
          <t>STATUS DA LAVAGEM</t>
        </is>
      </c>
      <c r="R2" s="216" t="inlineStr">
        <is>
          <t>PROX. LAVAGEM</t>
        </is>
      </c>
    </row>
    <row r="3">
      <c r="A3" s="198" t="inlineStr">
        <is>
          <t>Leve</t>
        </is>
      </c>
      <c r="B3" s="198" t="inlineStr">
        <is>
          <t>Pulse</t>
        </is>
      </c>
      <c r="C3" s="238" t="inlineStr">
        <is>
          <t>TN 01</t>
        </is>
      </c>
      <c r="D3" s="198" t="inlineStr">
        <is>
          <t>Localiza</t>
        </is>
      </c>
      <c r="E3" s="198" t="inlineStr">
        <is>
          <t>VALE</t>
        </is>
      </c>
      <c r="F3" t="inlineStr">
        <is>
          <t>TYU8F42</t>
        </is>
      </c>
      <c r="G3" s="198" t="inlineStr">
        <is>
          <t>CARAJÁS</t>
        </is>
      </c>
      <c r="H3" s="199" t="inlineStr">
        <is>
          <t>Neto</t>
        </is>
      </c>
      <c r="I3" s="244" t="n">
        <v>46087</v>
      </c>
      <c r="J3" s="207" t="inlineStr">
        <is>
          <t>MOBILIZAÇÃO</t>
        </is>
      </c>
      <c r="K3" s="207" t="inlineStr">
        <is>
          <t>MOBILIZAÇÃO</t>
        </is>
      </c>
      <c r="L3" s="237" t="inlineStr">
        <is>
          <t>MOBILIZAÇÃO</t>
        </is>
      </c>
      <c r="M3" s="237" t="inlineStr">
        <is>
          <t>MOBILIZAÇÃO</t>
        </is>
      </c>
      <c r="N3" s="207" t="n">
        <v>1228</v>
      </c>
      <c r="O3" s="207" t="n"/>
      <c r="P3" s="242" t="inlineStr">
        <is>
          <t>01.06.2026</t>
        </is>
      </c>
      <c r="Q3" s="260" t="inlineStr">
        <is>
          <t>EM DIA</t>
        </is>
      </c>
      <c r="R3" s="229" t="inlineStr">
        <is>
          <t>20.06.2026</t>
        </is>
      </c>
    </row>
    <row r="4" customFormat="1" s="19">
      <c r="A4" s="235" t="inlineStr">
        <is>
          <t>Caminhonete</t>
        </is>
      </c>
      <c r="B4" s="235" t="inlineStr">
        <is>
          <t>Hillux</t>
        </is>
      </c>
      <c r="C4" s="238" t="inlineStr">
        <is>
          <t>TN 03</t>
        </is>
      </c>
      <c r="D4" s="235" t="inlineStr">
        <is>
          <t>SINAL</t>
        </is>
      </c>
      <c r="E4" s="235" t="inlineStr">
        <is>
          <t>VALE</t>
        </is>
      </c>
      <c r="F4" s="267" t="inlineStr">
        <is>
          <t>TCD7H75</t>
        </is>
      </c>
      <c r="G4" s="238" t="inlineStr">
        <is>
          <t>CARAJÁS</t>
        </is>
      </c>
      <c r="H4" s="245" t="inlineStr">
        <is>
          <t>Adriano</t>
        </is>
      </c>
      <c r="I4" s="244" t="n">
        <v>46087</v>
      </c>
      <c r="J4" s="234" t="n">
        <v>43945</v>
      </c>
      <c r="K4" s="237" t="n">
        <v>44681</v>
      </c>
      <c r="L4" s="237" t="n">
        <v>45323</v>
      </c>
      <c r="M4" s="207" t="n">
        <v>46103</v>
      </c>
      <c r="N4" s="234" t="n">
        <v>46747</v>
      </c>
      <c r="O4" s="234" t="n"/>
      <c r="P4" s="242" t="inlineStr">
        <is>
          <t>16.05.2026</t>
        </is>
      </c>
      <c r="Q4" s="270" t="inlineStr">
        <is>
          <t>EM DIA</t>
        </is>
      </c>
      <c r="R4" s="241" t="inlineStr">
        <is>
          <t>01.06.2026</t>
        </is>
      </c>
    </row>
    <row r="5" customFormat="1" s="19">
      <c r="A5" s="235" t="inlineStr">
        <is>
          <t>Caminhonete</t>
        </is>
      </c>
      <c r="B5" s="235" t="inlineStr">
        <is>
          <t>HILLUX</t>
        </is>
      </c>
      <c r="C5" s="235" t="inlineStr">
        <is>
          <t>TN 04</t>
        </is>
      </c>
      <c r="D5" s="235" t="inlineStr">
        <is>
          <t>SINAL</t>
        </is>
      </c>
      <c r="E5" s="235" t="inlineStr">
        <is>
          <t>VALE</t>
        </is>
      </c>
      <c r="F5" s="267" t="inlineStr">
        <is>
          <t>TDM2E37</t>
        </is>
      </c>
      <c r="G5" s="235" t="inlineStr">
        <is>
          <t>CARAJÁS</t>
        </is>
      </c>
      <c r="H5" s="245" t="inlineStr">
        <is>
          <t>Leno</t>
        </is>
      </c>
      <c r="I5" s="244" t="n">
        <v>46087</v>
      </c>
      <c r="J5" s="234" t="n">
        <v>37864</v>
      </c>
      <c r="K5" s="237" t="n">
        <v>38053</v>
      </c>
      <c r="L5" s="237" t="n">
        <v>38782</v>
      </c>
      <c r="M5" s="207" t="n">
        <v>39676</v>
      </c>
      <c r="N5" s="234" t="n">
        <v>39998</v>
      </c>
      <c r="O5" s="234" t="n"/>
      <c r="P5" s="269" t="inlineStr">
        <is>
          <t>30.05.2026</t>
        </is>
      </c>
      <c r="Q5" s="270" t="inlineStr">
        <is>
          <t>EM DIA</t>
        </is>
      </c>
      <c r="R5" s="269" t="inlineStr">
        <is>
          <t>30.06.2026</t>
        </is>
      </c>
    </row>
    <row r="6" customFormat="1" s="19">
      <c r="A6" s="238" t="inlineStr">
        <is>
          <t>Caminhonete</t>
        </is>
      </c>
      <c r="B6" s="238" t="inlineStr">
        <is>
          <t>CHEVROLET S10</t>
        </is>
      </c>
      <c r="C6" s="238" t="inlineStr">
        <is>
          <t>TN 29</t>
        </is>
      </c>
      <c r="D6" s="238" t="inlineStr">
        <is>
          <t>SONDA</t>
        </is>
      </c>
      <c r="E6" s="238" t="inlineStr">
        <is>
          <t>SONDA</t>
        </is>
      </c>
      <c r="F6" s="271" t="inlineStr">
        <is>
          <t>SHX8B70</t>
        </is>
      </c>
      <c r="G6" s="238" t="inlineStr">
        <is>
          <t>CARAJÁS</t>
        </is>
      </c>
      <c r="H6" s="266" t="inlineStr">
        <is>
          <t>João Paulo</t>
        </is>
      </c>
      <c r="I6" s="244" t="n">
        <v>46087</v>
      </c>
      <c r="J6" s="234" t="n">
        <v>59231</v>
      </c>
      <c r="K6" s="237" t="n">
        <v>60093</v>
      </c>
      <c r="L6" s="237" t="n">
        <v>60897</v>
      </c>
      <c r="M6" s="207" t="n">
        <v>61672</v>
      </c>
      <c r="N6" s="234" t="n">
        <v>62203</v>
      </c>
      <c r="O6" s="234" t="n"/>
      <c r="P6" s="269" t="inlineStr">
        <is>
          <t>01.06.2026</t>
        </is>
      </c>
      <c r="Q6" s="270" t="inlineStr">
        <is>
          <t>EM DIA</t>
        </is>
      </c>
      <c r="R6" s="269" t="inlineStr">
        <is>
          <t>08.06.2026</t>
        </is>
      </c>
    </row>
    <row r="7" customFormat="1" s="19">
      <c r="A7" s="235" t="inlineStr">
        <is>
          <t>Caminhonete</t>
        </is>
      </c>
      <c r="B7" s="235" t="inlineStr">
        <is>
          <t>Hillux</t>
        </is>
      </c>
      <c r="C7" s="238" t="inlineStr">
        <is>
          <t>TN 31</t>
        </is>
      </c>
      <c r="D7" s="235" t="inlineStr">
        <is>
          <t>SINAL</t>
        </is>
      </c>
      <c r="E7" s="235" t="inlineStr">
        <is>
          <t>VALE</t>
        </is>
      </c>
      <c r="F7" s="267" t="inlineStr">
        <is>
          <t>TCD7I68</t>
        </is>
      </c>
      <c r="G7" s="238" t="inlineStr">
        <is>
          <t>CARAJÁS</t>
        </is>
      </c>
      <c r="H7" s="245" t="inlineStr">
        <is>
          <t>Lucas</t>
        </is>
      </c>
      <c r="I7" s="244" t="n">
        <v>46087</v>
      </c>
      <c r="J7" s="234" t="n">
        <v>36964</v>
      </c>
      <c r="K7" s="237" t="n">
        <v>37461</v>
      </c>
      <c r="L7" s="237" t="n">
        <v>37782</v>
      </c>
      <c r="M7" s="284" t="inlineStr">
        <is>
          <t>LAVADOR</t>
        </is>
      </c>
      <c r="N7" s="234" t="n">
        <v>38224</v>
      </c>
      <c r="O7" s="234" t="n"/>
      <c r="P7" s="269" t="inlineStr">
        <is>
          <t>29.05.2026</t>
        </is>
      </c>
      <c r="Q7" s="270" t="inlineStr">
        <is>
          <t>EM DIA</t>
        </is>
      </c>
      <c r="R7" s="241" t="inlineStr">
        <is>
          <t>30.04.2026</t>
        </is>
      </c>
    </row>
    <row r="8" customFormat="1" s="19">
      <c r="A8" s="235" t="inlineStr">
        <is>
          <t>Caminhonete</t>
        </is>
      </c>
      <c r="B8" s="235" t="inlineStr">
        <is>
          <t xml:space="preserve">FORD RANGER </t>
        </is>
      </c>
      <c r="C8" s="235" t="inlineStr">
        <is>
          <t>TN 72</t>
        </is>
      </c>
      <c r="D8" s="235" t="inlineStr">
        <is>
          <t>SINAL</t>
        </is>
      </c>
      <c r="E8" s="235" t="inlineStr">
        <is>
          <t>SONDA</t>
        </is>
      </c>
      <c r="F8" s="267" t="inlineStr">
        <is>
          <t>FXD9A18</t>
        </is>
      </c>
      <c r="G8" s="238" t="inlineStr">
        <is>
          <t>CARAJÁS</t>
        </is>
      </c>
      <c r="H8" s="245" t="inlineStr">
        <is>
          <t>Rosivald</t>
        </is>
      </c>
      <c r="I8" s="244" t="n">
        <v>46087</v>
      </c>
      <c r="J8" s="234" t="n">
        <v>126963</v>
      </c>
      <c r="K8" s="237" t="n">
        <v>127773</v>
      </c>
      <c r="L8" s="237" t="n">
        <v>128623</v>
      </c>
      <c r="M8" s="207" t="n">
        <v>129541</v>
      </c>
      <c r="N8" s="234" t="n">
        <v>130111</v>
      </c>
      <c r="O8" s="234" t="n"/>
      <c r="P8" s="241" t="inlineStr">
        <is>
          <t>13.01.2025</t>
        </is>
      </c>
      <c r="Q8" s="270" t="inlineStr">
        <is>
          <t>EM DIA</t>
        </is>
      </c>
      <c r="R8" s="241" t="inlineStr">
        <is>
          <t>30.05.2026</t>
        </is>
      </c>
    </row>
    <row r="9" customFormat="1" s="19">
      <c r="A9" s="238" t="inlineStr">
        <is>
          <t>Caminhonete</t>
        </is>
      </c>
      <c r="B9" s="238" t="inlineStr">
        <is>
          <t>Strada</t>
        </is>
      </c>
      <c r="C9" s="238" t="inlineStr">
        <is>
          <t>TN 73</t>
        </is>
      </c>
      <c r="D9" s="238" t="inlineStr">
        <is>
          <t>Localiza</t>
        </is>
      </c>
      <c r="E9" s="235" t="inlineStr">
        <is>
          <t>VALE</t>
        </is>
      </c>
      <c r="F9" s="271" t="inlineStr">
        <is>
          <t>TXX4C32</t>
        </is>
      </c>
      <c r="G9" s="238" t="inlineStr">
        <is>
          <t>CARAJÁS</t>
        </is>
      </c>
      <c r="H9" s="248" t="inlineStr">
        <is>
          <t>Waldecyr</t>
        </is>
      </c>
      <c r="I9" s="244" t="n">
        <v>46087</v>
      </c>
      <c r="J9" s="234" t="n">
        <v>1864</v>
      </c>
      <c r="K9" s="237" t="n">
        <v>2210</v>
      </c>
      <c r="L9" s="237" t="n">
        <v>2720</v>
      </c>
      <c r="M9" s="207" t="n">
        <v>3384</v>
      </c>
      <c r="N9" s="234" t="n">
        <v>3570</v>
      </c>
      <c r="O9" s="234" t="n"/>
      <c r="P9" s="274" t="inlineStr">
        <is>
          <t>13.05.2026</t>
        </is>
      </c>
      <c r="Q9" s="270" t="inlineStr">
        <is>
          <t>EM DIA</t>
        </is>
      </c>
      <c r="R9" s="274" t="inlineStr">
        <is>
          <t>14.06.2026</t>
        </is>
      </c>
    </row>
    <row r="10" customFormat="1" s="19">
      <c r="A10" s="235" t="inlineStr">
        <is>
          <t>Caminhonete</t>
        </is>
      </c>
      <c r="B10" s="235" t="inlineStr">
        <is>
          <t>Hillux</t>
        </is>
      </c>
      <c r="C10" s="238" t="inlineStr">
        <is>
          <t>TN 74</t>
        </is>
      </c>
      <c r="D10" s="235" t="inlineStr">
        <is>
          <t>SINAL</t>
        </is>
      </c>
      <c r="E10" s="235" t="inlineStr">
        <is>
          <t>VALE</t>
        </is>
      </c>
      <c r="F10" s="267" t="inlineStr">
        <is>
          <t>TDM2E33</t>
        </is>
      </c>
      <c r="G10" s="235" t="inlineStr">
        <is>
          <t>CARAJÁS</t>
        </is>
      </c>
      <c r="H10" s="245" t="inlineStr">
        <is>
          <t>Ederson</t>
        </is>
      </c>
      <c r="I10" s="244" t="n">
        <v>46087</v>
      </c>
      <c r="J10" s="234" t="n">
        <v>39222</v>
      </c>
      <c r="K10" s="237" t="inlineStr">
        <is>
          <t>MANUTENÇÃO</t>
        </is>
      </c>
      <c r="L10" s="237" t="n">
        <v>41131</v>
      </c>
      <c r="M10" s="207" t="n">
        <v>41481</v>
      </c>
      <c r="N10" s="234" t="n">
        <v>41695</v>
      </c>
      <c r="O10" s="234" t="n"/>
      <c r="P10" s="269" t="inlineStr">
        <is>
          <t>24.05.2026</t>
        </is>
      </c>
      <c r="Q10" s="270" t="inlineStr">
        <is>
          <t>EM DIA</t>
        </is>
      </c>
      <c r="R10" s="269" t="inlineStr">
        <is>
          <t>29.06.2026</t>
        </is>
      </c>
    </row>
    <row r="11" customFormat="1" s="19">
      <c r="A11" s="275" t="inlineStr">
        <is>
          <t>Caminhonete</t>
        </is>
      </c>
      <c r="B11" s="235" t="inlineStr">
        <is>
          <t>Hillux</t>
        </is>
      </c>
      <c r="C11" s="275" t="inlineStr">
        <is>
          <t>TN 76</t>
        </is>
      </c>
      <c r="D11" s="275" t="inlineStr">
        <is>
          <t>SINAL</t>
        </is>
      </c>
      <c r="E11" s="235" t="inlineStr">
        <is>
          <t>VALE</t>
        </is>
      </c>
      <c r="F11" s="276" t="inlineStr">
        <is>
          <t>TCD7H72</t>
        </is>
      </c>
      <c r="G11" s="275" t="inlineStr">
        <is>
          <t>CARAJÁS</t>
        </is>
      </c>
      <c r="H11" s="246" t="inlineStr">
        <is>
          <t>Gabriel</t>
        </is>
      </c>
      <c r="I11" s="244" t="n">
        <v>46087</v>
      </c>
      <c r="J11" s="234" t="n">
        <v>36628</v>
      </c>
      <c r="K11" s="283" t="inlineStr">
        <is>
          <t>LAVADOR</t>
        </is>
      </c>
      <c r="L11" s="237" t="n">
        <v>37743</v>
      </c>
      <c r="M11" s="207" t="n">
        <v>38150</v>
      </c>
      <c r="N11" s="234" t="n">
        <v>38767</v>
      </c>
      <c r="O11" s="234" t="n"/>
      <c r="P11" s="269" t="inlineStr">
        <is>
          <t>10.05.2026</t>
        </is>
      </c>
      <c r="Q11" s="270" t="inlineStr">
        <is>
          <t xml:space="preserve">EM DIA </t>
        </is>
      </c>
      <c r="R11" s="241" t="inlineStr">
        <is>
          <t>07.06.2026</t>
        </is>
      </c>
    </row>
    <row r="12" customFormat="1" s="19">
      <c r="A12" s="247" t="inlineStr">
        <is>
          <t>Caminhonete</t>
        </is>
      </c>
      <c r="B12" s="278" t="inlineStr">
        <is>
          <t xml:space="preserve">FORD RANGER </t>
        </is>
      </c>
      <c r="C12" s="278" t="inlineStr">
        <is>
          <t>TN 78</t>
        </is>
      </c>
      <c r="D12" s="247" t="inlineStr">
        <is>
          <t>SONDA</t>
        </is>
      </c>
      <c r="E12" s="247" t="inlineStr">
        <is>
          <t>SONDA</t>
        </is>
      </c>
      <c r="F12" s="279" t="inlineStr">
        <is>
          <t xml:space="preserve">FZY4F28 </t>
        </is>
      </c>
      <c r="G12" s="247" t="inlineStr">
        <is>
          <t>CARAJÁS</t>
        </is>
      </c>
      <c r="H12" s="247" t="inlineStr">
        <is>
          <t xml:space="preserve">Gabriel Garcia  </t>
        </is>
      </c>
      <c r="I12" s="244" t="n">
        <v>46087</v>
      </c>
      <c r="J12" s="234" t="n">
        <v>134415</v>
      </c>
      <c r="K12" s="237" t="n">
        <v>135426</v>
      </c>
      <c r="L12" s="237" t="n">
        <v>136383</v>
      </c>
      <c r="M12" s="207" t="n">
        <v>137745</v>
      </c>
      <c r="N12" s="283" t="inlineStr">
        <is>
          <t>MANUTENÇÃO</t>
        </is>
      </c>
      <c r="O12" s="234" t="n"/>
      <c r="P12" s="241" t="inlineStr">
        <is>
          <t>16.03.2026</t>
        </is>
      </c>
      <c r="Q12" s="270" t="inlineStr">
        <is>
          <t xml:space="preserve">EM DIA </t>
        </is>
      </c>
      <c r="R12" s="241" t="inlineStr">
        <is>
          <t>09.06.2026</t>
        </is>
      </c>
    </row>
    <row r="13"/>
    <row r="14">
      <c r="A14" s="169" t="inlineStr">
        <is>
          <t xml:space="preserve">Veículos Cadastrados </t>
        </is>
      </c>
      <c r="B14" s="170" t="n"/>
      <c r="C14" s="170" t="n"/>
      <c r="D14" s="170" t="n"/>
      <c r="E14" s="170" t="n"/>
      <c r="F14" s="255" t="n"/>
      <c r="G14" s="170" t="n"/>
      <c r="H14" s="170" t="n"/>
      <c r="I14" s="170" t="n"/>
      <c r="J14" s="170" t="n"/>
      <c r="K14" s="170" t="n"/>
      <c r="L14" s="170" t="n"/>
      <c r="M14" s="170" t="n"/>
      <c r="N14" s="170" t="n"/>
      <c r="O14" s="170" t="n"/>
      <c r="P14" s="228" t="n"/>
      <c r="Q14" s="171" t="n"/>
      <c r="R14" s="172" t="n"/>
    </row>
    <row r="15" hidden="1">
      <c r="A15" s="193" t="inlineStr">
        <is>
          <t>Tipo</t>
        </is>
      </c>
      <c r="B15" s="193" t="inlineStr">
        <is>
          <t xml:space="preserve">Modelos </t>
        </is>
      </c>
      <c r="C15" s="193" t="inlineStr">
        <is>
          <t>Tag</t>
        </is>
      </c>
      <c r="D15" s="193" t="inlineStr">
        <is>
          <t>Locadora</t>
        </is>
      </c>
      <c r="E15" s="193" t="inlineStr">
        <is>
          <t>Localidade</t>
        </is>
      </c>
      <c r="F15" s="193" t="inlineStr">
        <is>
          <t>Placa</t>
        </is>
      </c>
      <c r="G15" s="193" t="inlineStr">
        <is>
          <t>SSO</t>
        </is>
      </c>
      <c r="H15" s="193" t="inlineStr">
        <is>
          <t>Condutores</t>
        </is>
      </c>
      <c r="I15" s="193" t="inlineStr">
        <is>
          <t>SEMANA 02</t>
        </is>
      </c>
      <c r="J15" s="193" t="inlineStr">
        <is>
          <t>KM TOTAL</t>
        </is>
      </c>
      <c r="K15" s="216" t="inlineStr">
        <is>
          <t>S1</t>
        </is>
      </c>
      <c r="L15" s="216" t="inlineStr">
        <is>
          <t>S2</t>
        </is>
      </c>
      <c r="M15" s="216" t="inlineStr">
        <is>
          <t>S3</t>
        </is>
      </c>
      <c r="N15" s="216" t="inlineStr">
        <is>
          <t>S4</t>
        </is>
      </c>
      <c r="O15" s="216" t="n"/>
      <c r="P15" s="230" t="inlineStr">
        <is>
          <t>ULTIMA LAVAGEM</t>
        </is>
      </c>
      <c r="Q15" s="231" t="inlineStr">
        <is>
          <t xml:space="preserve">LAVAGEM PROGRAMADA </t>
        </is>
      </c>
      <c r="R15" s="232" t="inlineStr">
        <is>
          <t>PROX. LAVAGEM</t>
        </is>
      </c>
    </row>
    <row r="16" hidden="1">
      <c r="A16" s="198" t="inlineStr">
        <is>
          <t>Leve</t>
        </is>
      </c>
      <c r="B16" s="198" t="inlineStr">
        <is>
          <t>Tracker</t>
        </is>
      </c>
      <c r="C16" s="198" t="inlineStr">
        <is>
          <t>TN 01</t>
        </is>
      </c>
      <c r="D16" s="198" t="inlineStr">
        <is>
          <t>Localiza</t>
        </is>
      </c>
      <c r="E16" s="198" t="inlineStr">
        <is>
          <t>CKS</t>
        </is>
      </c>
      <c r="F16" s="198" t="inlineStr">
        <is>
          <t>TCO2C15</t>
        </is>
      </c>
      <c r="G16" s="198" t="inlineStr">
        <is>
          <t>CARAJÁS</t>
        </is>
      </c>
      <c r="H16" s="200" t="inlineStr">
        <is>
          <t>Fabricio Maia</t>
        </is>
      </c>
      <c r="I16" s="161" t="n">
        <v>45912</v>
      </c>
      <c r="J16" s="201">
        <f>SUM(K16:N16)</f>
        <v/>
      </c>
      <c r="K16" s="207">
        <f>K3-$J3</f>
        <v/>
      </c>
      <c r="L16" s="207">
        <f>L3-$J3</f>
        <v/>
      </c>
      <c r="M16" s="207">
        <f>M3-$J3</f>
        <v/>
      </c>
      <c r="N16" s="207">
        <f>N3-$J3</f>
        <v/>
      </c>
      <c r="O16" s="207" t="n"/>
      <c r="P16" s="141" t="n">
        <v>45891</v>
      </c>
      <c r="Q16" s="218" t="n"/>
      <c r="R16" s="98" t="n"/>
    </row>
    <row r="17" hidden="1">
      <c r="A17" s="198" t="inlineStr">
        <is>
          <t>Caminhonete</t>
        </is>
      </c>
      <c r="B17" s="198" t="inlineStr">
        <is>
          <t>Hillux</t>
        </is>
      </c>
      <c r="C17" s="198" t="inlineStr">
        <is>
          <t>TN 03</t>
        </is>
      </c>
      <c r="D17" s="198" t="inlineStr">
        <is>
          <t>SINAL</t>
        </is>
      </c>
      <c r="E17" s="198" t="inlineStr">
        <is>
          <t>CKS</t>
        </is>
      </c>
      <c r="F17" s="198" t="inlineStr">
        <is>
          <t>TCD7H75</t>
        </is>
      </c>
      <c r="G17" s="197" t="inlineStr">
        <is>
          <t>CARAJÁS</t>
        </is>
      </c>
      <c r="H17" s="199" t="inlineStr">
        <is>
          <t>Lucas</t>
        </is>
      </c>
      <c r="I17" s="161" t="n">
        <v>45912</v>
      </c>
      <c r="J17" s="201">
        <f>SUM(K17:N17)</f>
        <v/>
      </c>
      <c r="K17" s="207">
        <f>K4-$J4</f>
        <v/>
      </c>
      <c r="L17" s="207">
        <f>L4-$J4</f>
        <v/>
      </c>
      <c r="M17" s="207">
        <f>M4-$J4</f>
        <v/>
      </c>
      <c r="N17" s="207">
        <f>N4-$J4</f>
        <v/>
      </c>
      <c r="O17" s="207" t="n"/>
      <c r="P17" s="141" t="n">
        <v>45896</v>
      </c>
      <c r="Q17" s="218" t="inlineStr">
        <is>
          <t>pendente</t>
        </is>
      </c>
      <c r="R17" s="99" t="n">
        <v>45921</v>
      </c>
    </row>
    <row r="18" hidden="1">
      <c r="A18" s="198" t="inlineStr">
        <is>
          <t>Caminhonete</t>
        </is>
      </c>
      <c r="B18" s="198" t="inlineStr">
        <is>
          <t>HILLUX</t>
        </is>
      </c>
      <c r="C18" s="198" t="inlineStr">
        <is>
          <t>TN 04</t>
        </is>
      </c>
      <c r="D18" s="198" t="inlineStr">
        <is>
          <t>SINAL</t>
        </is>
      </c>
      <c r="E18" s="198" t="inlineStr">
        <is>
          <t>CKS</t>
        </is>
      </c>
      <c r="F18" s="198" t="inlineStr">
        <is>
          <t>TDM2E37</t>
        </is>
      </c>
      <c r="G18" s="198" t="inlineStr">
        <is>
          <t>CARAJÁS</t>
        </is>
      </c>
      <c r="H18" s="200" t="inlineStr">
        <is>
          <t>MATHEUS</t>
        </is>
      </c>
      <c r="I18" s="161" t="n">
        <v>45912</v>
      </c>
      <c r="J18" s="201">
        <f>SUM(K18:N18)</f>
        <v/>
      </c>
      <c r="K18" s="207">
        <f>K5-$J5</f>
        <v/>
      </c>
      <c r="L18" s="207">
        <f>L5-$J5</f>
        <v/>
      </c>
      <c r="M18" s="207">
        <f>M5-$J5</f>
        <v/>
      </c>
      <c r="N18" s="207">
        <f>N5-$J5</f>
        <v/>
      </c>
      <c r="O18" s="207" t="n"/>
      <c r="P18" s="141" t="n">
        <v>45908</v>
      </c>
      <c r="Q18" s="182" t="inlineStr">
        <is>
          <t>ok</t>
        </is>
      </c>
      <c r="R18" s="99" t="n">
        <v>45919</v>
      </c>
    </row>
    <row r="19" hidden="1">
      <c r="A19" s="197" t="inlineStr">
        <is>
          <t>Caminhonete</t>
        </is>
      </c>
      <c r="B19" s="197" t="inlineStr">
        <is>
          <t>CHEVROLET S10</t>
        </is>
      </c>
      <c r="C19" s="198" t="inlineStr">
        <is>
          <t>TN 29</t>
        </is>
      </c>
      <c r="D19" s="197" t="inlineStr">
        <is>
          <t>Sonda</t>
        </is>
      </c>
      <c r="E19" s="197" t="inlineStr">
        <is>
          <t>CKS</t>
        </is>
      </c>
      <c r="F19" s="197" t="inlineStr">
        <is>
          <t>FXR0F35</t>
        </is>
      </c>
      <c r="G19" s="197" t="inlineStr">
        <is>
          <t>CARAJÁS</t>
        </is>
      </c>
      <c r="H19" s="199" t="inlineStr">
        <is>
          <t>JOÃO TAVARES</t>
        </is>
      </c>
      <c r="I19" s="161" t="n">
        <v>45912</v>
      </c>
      <c r="J19" s="201">
        <f>SUM(K19:N19)</f>
        <v/>
      </c>
      <c r="K19" s="207">
        <f>K6-$J6</f>
        <v/>
      </c>
      <c r="L19" s="207">
        <f>L6-$J6</f>
        <v/>
      </c>
      <c r="M19" s="207">
        <f>M6-$J6</f>
        <v/>
      </c>
      <c r="N19" s="207">
        <f>N6-$J6</f>
        <v/>
      </c>
      <c r="O19" s="207" t="n"/>
      <c r="P19" s="141" t="n">
        <v>45916</v>
      </c>
      <c r="Q19" s="182" t="inlineStr">
        <is>
          <t>ok</t>
        </is>
      </c>
      <c r="R19" s="99" t="n">
        <v>45924</v>
      </c>
    </row>
    <row r="20" hidden="1">
      <c r="A20" s="198" t="inlineStr">
        <is>
          <t>Caminhonete</t>
        </is>
      </c>
      <c r="B20" s="198" t="inlineStr">
        <is>
          <t>Hillux</t>
        </is>
      </c>
      <c r="C20" s="198" t="inlineStr">
        <is>
          <t>TN 31</t>
        </is>
      </c>
      <c r="D20" s="198" t="inlineStr">
        <is>
          <t>SINAL</t>
        </is>
      </c>
      <c r="E20" s="198" t="inlineStr">
        <is>
          <t>CKS</t>
        </is>
      </c>
      <c r="F20" s="198" t="inlineStr">
        <is>
          <t>TCD7I68</t>
        </is>
      </c>
      <c r="G20" s="197" t="inlineStr">
        <is>
          <t>CARAJÁS</t>
        </is>
      </c>
      <c r="H20" s="199" t="inlineStr">
        <is>
          <t>Lucas</t>
        </is>
      </c>
      <c r="I20" s="161" t="n">
        <v>45912</v>
      </c>
      <c r="J20" s="201">
        <f>SUM(K20:N20)</f>
        <v/>
      </c>
      <c r="K20" s="207">
        <f>K7-$J7</f>
        <v/>
      </c>
      <c r="L20" s="207">
        <f>L7-$J7</f>
        <v/>
      </c>
      <c r="M20" s="207">
        <f>M7-$J7</f>
        <v/>
      </c>
      <c r="N20" s="207">
        <f>N7-$J7</f>
        <v/>
      </c>
      <c r="O20" s="207" t="n"/>
      <c r="P20" s="141" t="n">
        <v>45901</v>
      </c>
      <c r="Q20" s="182" t="inlineStr">
        <is>
          <t>pendente</t>
        </is>
      </c>
      <c r="R20" s="99" t="n">
        <v>45920</v>
      </c>
    </row>
    <row r="21" hidden="1">
      <c r="A21" s="198" t="inlineStr">
        <is>
          <t>Caminhonete</t>
        </is>
      </c>
      <c r="B21" s="198" t="inlineStr">
        <is>
          <t xml:space="preserve">FORD RANGER </t>
        </is>
      </c>
      <c r="C21" s="198" t="inlineStr">
        <is>
          <t>TN 72</t>
        </is>
      </c>
      <c r="D21" s="198" t="inlineStr">
        <is>
          <t>Sonda</t>
        </is>
      </c>
      <c r="E21" s="198" t="inlineStr">
        <is>
          <t>CKS</t>
        </is>
      </c>
      <c r="F21" s="198" t="inlineStr">
        <is>
          <t>FXD9A18</t>
        </is>
      </c>
      <c r="G21" s="197" t="inlineStr">
        <is>
          <t>CARAJÁS</t>
        </is>
      </c>
      <c r="H21" s="199" t="inlineStr">
        <is>
          <t>RAIMUNDO CHARLES</t>
        </is>
      </c>
      <c r="I21" s="161" t="n">
        <v>45912</v>
      </c>
      <c r="J21" s="201">
        <f>SUM(K21:N21)</f>
        <v/>
      </c>
      <c r="K21" s="207">
        <f>K8-$J8</f>
        <v/>
      </c>
      <c r="L21" s="207">
        <f>L8-$J8</f>
        <v/>
      </c>
      <c r="M21" s="207">
        <f>M8-$J8</f>
        <v/>
      </c>
      <c r="N21" s="207">
        <f>N8-$J8</f>
        <v/>
      </c>
      <c r="O21" s="207" t="n"/>
      <c r="P21" s="141" t="n">
        <v>45904</v>
      </c>
      <c r="Q21" s="218" t="inlineStr">
        <is>
          <t>pendente</t>
        </is>
      </c>
      <c r="R21" s="99" t="n">
        <v>45926</v>
      </c>
    </row>
    <row r="22" hidden="1">
      <c r="A22" s="197" t="inlineStr">
        <is>
          <t>Caminhonete</t>
        </is>
      </c>
      <c r="B22" s="197" t="inlineStr">
        <is>
          <t>Hillux</t>
        </is>
      </c>
      <c r="C22" s="198" t="inlineStr">
        <is>
          <t>TN 73</t>
        </is>
      </c>
      <c r="D22" s="197" t="inlineStr">
        <is>
          <t>SINAL</t>
        </is>
      </c>
      <c r="E22" s="197" t="inlineStr">
        <is>
          <t>CKS</t>
        </is>
      </c>
      <c r="F22" s="197" t="inlineStr">
        <is>
          <t>TCD7H73</t>
        </is>
      </c>
      <c r="G22" s="197" t="inlineStr">
        <is>
          <t>CARAJÁS</t>
        </is>
      </c>
      <c r="H22" s="199" t="inlineStr">
        <is>
          <t>William</t>
        </is>
      </c>
      <c r="I22" s="161" t="n">
        <v>45912</v>
      </c>
      <c r="J22" s="201">
        <f>SUM(K22:N22)</f>
        <v/>
      </c>
      <c r="K22" s="207">
        <f>K9-$J9</f>
        <v/>
      </c>
      <c r="L22" s="207">
        <f>L9-$J9</f>
        <v/>
      </c>
      <c r="M22" s="207">
        <f>M9-$J9</f>
        <v/>
      </c>
      <c r="N22" s="207">
        <f>N9-$J9</f>
        <v/>
      </c>
      <c r="O22" s="251" t="n"/>
      <c r="P22" s="59" t="n">
        <v>45905</v>
      </c>
      <c r="Q22" s="184" t="inlineStr">
        <is>
          <t>pendente</t>
        </is>
      </c>
      <c r="R22" s="99" t="n">
        <v>45924</v>
      </c>
    </row>
    <row r="23" hidden="1">
      <c r="A23" s="198" t="inlineStr">
        <is>
          <t>Caminhonete</t>
        </is>
      </c>
      <c r="B23" s="198" t="inlineStr">
        <is>
          <t>Ranger</t>
        </is>
      </c>
      <c r="C23" s="198" t="inlineStr">
        <is>
          <t>TN 74</t>
        </is>
      </c>
      <c r="D23" s="198" t="inlineStr">
        <is>
          <t>SONDA</t>
        </is>
      </c>
      <c r="E23" s="198" t="inlineStr">
        <is>
          <t>CKS</t>
        </is>
      </c>
      <c r="F23" s="198" t="inlineStr">
        <is>
          <t>RDM2E33</t>
        </is>
      </c>
      <c r="G23" s="198" t="inlineStr">
        <is>
          <t>CARAJÁS</t>
        </is>
      </c>
      <c r="H23" s="200" t="inlineStr">
        <is>
          <t>Ederson</t>
        </is>
      </c>
      <c r="I23" s="161" t="n">
        <v>45912</v>
      </c>
      <c r="J23" s="201">
        <f>SUM(K23:N23)</f>
        <v/>
      </c>
      <c r="K23" s="207">
        <f>K10-$J10</f>
        <v/>
      </c>
      <c r="L23" s="207">
        <f>L10-$J10</f>
        <v/>
      </c>
      <c r="M23" s="207">
        <f>M10-$J10</f>
        <v/>
      </c>
      <c r="N23" s="207">
        <f>N10-$J10</f>
        <v/>
      </c>
      <c r="O23" s="207" t="n"/>
      <c r="P23" s="141" t="n">
        <v>45918</v>
      </c>
      <c r="Q23" s="184" t="inlineStr">
        <is>
          <t>ok</t>
        </is>
      </c>
      <c r="R23" s="99" t="n">
        <v>45923</v>
      </c>
    </row>
    <row r="24" hidden="1">
      <c r="A24" s="209" t="inlineStr">
        <is>
          <t>Caminhonete</t>
        </is>
      </c>
      <c r="B24" s="209" t="inlineStr">
        <is>
          <t>NISSAN FRONTIER</t>
        </is>
      </c>
      <c r="C24" s="209" t="inlineStr">
        <is>
          <t>TN 76</t>
        </is>
      </c>
      <c r="D24" s="209" t="inlineStr">
        <is>
          <t>SINAL</t>
        </is>
      </c>
      <c r="E24" s="209" t="inlineStr">
        <is>
          <t>CKS</t>
        </is>
      </c>
      <c r="F24" s="209" t="inlineStr">
        <is>
          <t>TCD7H72</t>
        </is>
      </c>
      <c r="G24" s="209" t="inlineStr">
        <is>
          <t>CARAJÁS</t>
        </is>
      </c>
      <c r="H24" s="217" t="inlineStr">
        <is>
          <t>Renan</t>
        </is>
      </c>
      <c r="I24" s="161" t="n">
        <v>45912</v>
      </c>
      <c r="J24" s="201">
        <f>SUM(K24:N24)</f>
        <v/>
      </c>
      <c r="K24" s="207">
        <f>K11-$J11</f>
        <v/>
      </c>
      <c r="L24" s="207">
        <f>L11-$J11</f>
        <v/>
      </c>
      <c r="M24" s="207">
        <f>M11-$J11</f>
        <v/>
      </c>
      <c r="N24" s="207">
        <f>N11-$J11</f>
        <v/>
      </c>
      <c r="O24" s="207" t="n"/>
      <c r="P24" s="141" t="n">
        <v>45901</v>
      </c>
      <c r="Q24" s="184" t="inlineStr">
        <is>
          <t>pendente</t>
        </is>
      </c>
      <c r="R24" s="99" t="n">
        <v>45922</v>
      </c>
    </row>
    <row r="25" hidden="1">
      <c r="A25" s="202" t="inlineStr">
        <is>
          <t>Caminhonete</t>
        </is>
      </c>
      <c r="B25" s="204" t="inlineStr">
        <is>
          <t>NISSAN FRONTIER</t>
        </is>
      </c>
      <c r="C25" s="204" t="inlineStr">
        <is>
          <t>TN78</t>
        </is>
      </c>
      <c r="D25" s="202" t="inlineStr">
        <is>
          <t>SONDA</t>
        </is>
      </c>
      <c r="E25" s="202" t="inlineStr">
        <is>
          <t>CKS</t>
        </is>
      </c>
      <c r="F25" s="202" t="inlineStr">
        <is>
          <t xml:space="preserve">FZY4F28 </t>
        </is>
      </c>
      <c r="G25" s="202" t="inlineStr">
        <is>
          <t>CARAJÁS</t>
        </is>
      </c>
      <c r="H25" s="202" t="inlineStr">
        <is>
          <t>Ederson</t>
        </is>
      </c>
      <c r="I25" s="161" t="n">
        <v>45912</v>
      </c>
      <c r="J25" s="201">
        <f>SUM(K25:N25)</f>
        <v/>
      </c>
      <c r="K25" s="207">
        <f>K12-$J12</f>
        <v/>
      </c>
      <c r="L25" s="207">
        <f>L12-$J12</f>
        <v/>
      </c>
      <c r="M25" s="207">
        <f>M12-$J12</f>
        <v/>
      </c>
      <c r="N25" s="207">
        <f>N12-$J12</f>
        <v/>
      </c>
      <c r="O25" s="207" t="n"/>
      <c r="P25" s="141" t="n">
        <v>45905</v>
      </c>
      <c r="Q25" s="184" t="inlineStr">
        <is>
          <t>pendente</t>
        </is>
      </c>
      <c r="R25" s="99" t="n">
        <v>45922</v>
      </c>
    </row>
    <row r="26" ht="14.95" customHeight="1" thickBot="1"/>
    <row r="27" ht="28.55" customHeight="1">
      <c r="A27" s="319" t="inlineStr">
        <is>
          <t>ACOMPANHAMENTO KM SEMANA</t>
        </is>
      </c>
      <c r="B27" s="328" t="n"/>
      <c r="C27" s="328" t="n"/>
      <c r="D27" s="328" t="n"/>
      <c r="E27" s="328" t="n"/>
      <c r="F27" s="226" t="n"/>
      <c r="G27" s="250" t="inlineStr">
        <is>
          <t>ULTIMA LAVAGEM</t>
        </is>
      </c>
      <c r="H27" s="259" t="inlineStr">
        <is>
          <t>Proxima Lavagem</t>
        </is>
      </c>
    </row>
    <row r="28" ht="14.95" customHeight="1" thickBot="1">
      <c r="A28" s="227" t="inlineStr">
        <is>
          <t>TAG</t>
        </is>
      </c>
      <c r="B28" s="222" t="inlineStr">
        <is>
          <t>S1</t>
        </is>
      </c>
      <c r="C28" s="222" t="inlineStr">
        <is>
          <t>S2</t>
        </is>
      </c>
      <c r="D28" s="222" t="inlineStr">
        <is>
          <t>S3</t>
        </is>
      </c>
      <c r="E28" s="223" t="inlineStr">
        <is>
          <t>S4</t>
        </is>
      </c>
      <c r="F28" s="223" t="inlineStr">
        <is>
          <t>S5</t>
        </is>
      </c>
      <c r="G28" s="224" t="inlineStr">
        <is>
          <t>ACUM.</t>
        </is>
      </c>
      <c r="H28" s="225" t="n"/>
      <c r="Q28" s="229" t="n"/>
    </row>
    <row r="29" ht="14.95" customHeight="1" thickBot="1">
      <c r="A29" s="252" t="inlineStr">
        <is>
          <t>TN 01</t>
        </is>
      </c>
      <c r="B29" s="253" t="n"/>
      <c r="C29" s="254" t="n"/>
      <c r="D29" s="254" t="n"/>
      <c r="E29" s="254" t="n"/>
      <c r="F29" s="254" t="n"/>
      <c r="G29" s="257" t="n">
        <v>0</v>
      </c>
      <c r="H29" s="239">
        <f>R3</f>
        <v/>
      </c>
      <c r="Q29" s="229" t="n"/>
    </row>
    <row r="30" ht="14.95" customHeight="1" thickBot="1">
      <c r="A30" s="219" t="inlineStr">
        <is>
          <t>TN 03</t>
        </is>
      </c>
      <c r="B30" s="253" t="n">
        <v>736</v>
      </c>
      <c r="C30" s="254" t="n">
        <v>642</v>
      </c>
      <c r="D30" s="254" t="n">
        <v>780</v>
      </c>
      <c r="E30" s="254" t="n">
        <v>644</v>
      </c>
      <c r="F30" s="254" t="n"/>
      <c r="G30" s="257" t="n">
        <v>2802</v>
      </c>
      <c r="H30" s="239">
        <f>R4</f>
        <v/>
      </c>
      <c r="Q30" s="229" t="n"/>
    </row>
    <row r="31" ht="14.95" customHeight="1" thickBot="1">
      <c r="A31" s="219" t="inlineStr">
        <is>
          <t>TN 04</t>
        </is>
      </c>
      <c r="B31" s="253" t="n">
        <v>189</v>
      </c>
      <c r="C31" s="254" t="n">
        <v>729</v>
      </c>
      <c r="D31" s="254" t="n">
        <v>894</v>
      </c>
      <c r="E31" s="254" t="n">
        <v>322</v>
      </c>
      <c r="F31" s="254" t="n"/>
      <c r="G31" s="257" t="n">
        <v>2134</v>
      </c>
      <c r="H31" s="239">
        <f>R5</f>
        <v/>
      </c>
      <c r="Q31" s="229" t="n"/>
    </row>
    <row r="32" ht="14.95" customHeight="1" thickBot="1">
      <c r="A32" s="219" t="inlineStr">
        <is>
          <t>TN 29</t>
        </is>
      </c>
      <c r="B32" s="253" t="n">
        <v>862</v>
      </c>
      <c r="C32" s="254" t="n">
        <v>804</v>
      </c>
      <c r="D32" s="254" t="n">
        <v>775</v>
      </c>
      <c r="E32" s="254" t="n">
        <v>531</v>
      </c>
      <c r="F32" s="254" t="n"/>
      <c r="G32" s="257" t="n">
        <v>2972</v>
      </c>
      <c r="H32" s="239">
        <f>R6</f>
        <v/>
      </c>
      <c r="Q32" s="229" t="n"/>
    </row>
    <row r="33" ht="14.95" customHeight="1" thickBot="1">
      <c r="A33" s="219" t="inlineStr">
        <is>
          <t>TN 31</t>
        </is>
      </c>
      <c r="B33" s="253" t="n">
        <v>497</v>
      </c>
      <c r="C33" s="254" t="n">
        <v>321</v>
      </c>
      <c r="D33" s="254" t="n"/>
      <c r="E33" s="254" t="n">
        <v>442</v>
      </c>
      <c r="F33" s="254" t="n"/>
      <c r="G33" s="257" t="n">
        <v>1260</v>
      </c>
      <c r="H33" s="239">
        <f>R7</f>
        <v/>
      </c>
      <c r="Q33" s="229" t="n"/>
    </row>
    <row r="34" ht="14.95" customHeight="1" thickBot="1">
      <c r="A34" s="219" t="inlineStr">
        <is>
          <t>TN 72</t>
        </is>
      </c>
      <c r="B34" s="253" t="n">
        <v>810</v>
      </c>
      <c r="C34" s="254" t="n">
        <v>850</v>
      </c>
      <c r="D34" s="254" t="n">
        <v>918</v>
      </c>
      <c r="E34" s="254" t="n">
        <v>570</v>
      </c>
      <c r="F34" s="254" t="n"/>
      <c r="G34" s="257" t="n">
        <v>3148</v>
      </c>
      <c r="H34" s="239">
        <f>R8</f>
        <v/>
      </c>
      <c r="Q34" s="229" t="n"/>
    </row>
    <row r="35" ht="14.95" customHeight="1" thickBot="1">
      <c r="A35" s="219" t="inlineStr">
        <is>
          <t>TN 73</t>
        </is>
      </c>
      <c r="B35" s="253" t="n">
        <v>346</v>
      </c>
      <c r="C35" s="254" t="n">
        <v>510</v>
      </c>
      <c r="D35" s="254" t="n">
        <v>664</v>
      </c>
      <c r="E35" s="254" t="n">
        <v>186</v>
      </c>
      <c r="F35" s="254" t="n"/>
      <c r="G35" s="257" t="n">
        <v>1706</v>
      </c>
      <c r="H35" s="239">
        <f>R9</f>
        <v/>
      </c>
      <c r="Q35" s="229" t="n"/>
    </row>
    <row r="36" ht="14.95" customHeight="1" thickBot="1">
      <c r="A36" s="219" t="inlineStr">
        <is>
          <t>TN 74</t>
        </is>
      </c>
      <c r="B36" s="253" t="n"/>
      <c r="C36" s="254" t="n">
        <v>1909</v>
      </c>
      <c r="D36" s="254" t="n">
        <v>350</v>
      </c>
      <c r="E36" s="254" t="n">
        <v>214</v>
      </c>
      <c r="F36" s="254" t="n"/>
      <c r="G36" s="257" t="n">
        <v>2473</v>
      </c>
      <c r="H36" s="239">
        <f>R10</f>
        <v/>
      </c>
      <c r="Q36" s="229" t="n"/>
    </row>
    <row r="37" ht="14.95" customHeight="1" thickBot="1">
      <c r="A37" s="220" t="inlineStr">
        <is>
          <t>TN 76</t>
        </is>
      </c>
      <c r="B37" s="253" t="n"/>
      <c r="C37" s="254" t="n">
        <v>1115</v>
      </c>
      <c r="D37" s="254" t="n">
        <v>407</v>
      </c>
      <c r="E37" s="254" t="n">
        <v>617</v>
      </c>
      <c r="F37" s="254" t="n"/>
      <c r="G37" s="257" t="n">
        <v>2139</v>
      </c>
      <c r="H37" s="239">
        <f>R11</f>
        <v/>
      </c>
      <c r="Q37" s="229" t="n"/>
    </row>
    <row r="38" ht="14.95" customHeight="1" thickBot="1">
      <c r="A38" s="221" t="inlineStr">
        <is>
          <t>TN78</t>
        </is>
      </c>
      <c r="B38" s="253" t="n">
        <v>1011</v>
      </c>
      <c r="C38" s="254" t="n">
        <v>957</v>
      </c>
      <c r="D38" s="254" t="n">
        <v>1362</v>
      </c>
      <c r="E38" s="254" t="n"/>
      <c r="F38" s="254" t="n"/>
      <c r="G38" s="257" t="n">
        <v>3330</v>
      </c>
      <c r="H38" s="239">
        <f>R12</f>
        <v/>
      </c>
      <c r="Q38" s="229" t="n"/>
    </row>
  </sheetData>
  <autoFilter ref="A2:R2">
    <sortState ref="A3:R12">
      <sortCondition ref="C2"/>
    </sortState>
  </autoFilter>
  <mergeCells count="1">
    <mergeCell ref="A27:E27"/>
  </mergeCells>
  <conditionalFormatting sqref="B29:B38 C30:E30 E31:E38 F30:G38">
    <cfRule type="cellIs" priority="16" operator="between" dxfId="8">
      <formula>1</formula>
      <formula>299</formula>
    </cfRule>
    <cfRule type="cellIs" priority="14" operator="greaterThan" dxfId="1">
      <formula>500</formula>
    </cfRule>
    <cfRule type="cellIs" priority="15" operator="between" dxfId="2">
      <formula>300</formula>
      <formula>500</formula>
    </cfRule>
  </conditionalFormatting>
  <conditionalFormatting sqref="B29:G38">
    <cfRule type="cellIs" priority="17" operator="equal">
      <formula>0</formula>
    </cfRule>
  </conditionalFormatting>
  <conditionalFormatting sqref="C29:G38">
    <cfRule type="cellIs" priority="11" operator="between" dxfId="8">
      <formula>1</formula>
      <formula>600</formula>
    </cfRule>
    <cfRule type="cellIs" priority="12" operator="between" dxfId="2">
      <formula>600</formula>
      <formula>1000</formula>
    </cfRule>
    <cfRule type="cellIs" priority="13" operator="greaterThan" dxfId="1">
      <formula>1000</formula>
    </cfRule>
  </conditionalFormatting>
  <conditionalFormatting sqref="D29:G38">
    <cfRule type="cellIs" priority="8" operator="greaterThan" dxfId="1">
      <formula>1501</formula>
    </cfRule>
    <cfRule type="cellIs" priority="9" operator="between" dxfId="8">
      <formula>1</formula>
      <formula>900</formula>
    </cfRule>
    <cfRule type="cellIs" priority="10" operator="between" dxfId="2">
      <formula>900</formula>
      <formula>1500</formula>
    </cfRule>
  </conditionalFormatting>
  <conditionalFormatting sqref="E30:F38">
    <cfRule type="cellIs" priority="7" operator="greaterThan" dxfId="1">
      <formula>2000</formula>
    </cfRule>
  </conditionalFormatting>
  <conditionalFormatting sqref="E30:F38 G29:G38">
    <cfRule type="cellIs" priority="5" operator="between" dxfId="2">
      <formula>1201</formula>
      <formula>2000</formula>
    </cfRule>
    <cfRule type="cellIs" priority="6" operator="between" dxfId="1">
      <formula>1</formula>
      <formula>1200</formula>
    </cfRule>
  </conditionalFormatting>
  <conditionalFormatting sqref="G29:G38">
    <cfRule type="cellIs" priority="1" operator="between" dxfId="2">
      <formula>1500</formula>
      <formula>2000</formula>
    </cfRule>
    <cfRule type="cellIs" priority="2" operator="between" dxfId="2">
      <formula>1200</formula>
      <formula>2000</formula>
    </cfRule>
    <cfRule type="cellIs" priority="3" operator="greaterThan" dxfId="1">
      <formula>2000</formula>
    </cfRule>
  </conditionalFormatting>
  <conditionalFormatting sqref="H29:H38">
    <cfRule type="cellIs" priority="4" operator="lessThan" dxfId="0">
      <formula>$H$28</formula>
    </cfRule>
  </conditionalFormatting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R38"/>
  <sheetViews>
    <sheetView view="pageBreakPreview" zoomScale="120" zoomScaleNormal="90" zoomScaleSheetLayoutView="120" workbookViewId="0">
      <selection activeCell="F6" sqref="F6"/>
    </sheetView>
  </sheetViews>
  <sheetFormatPr baseColWidth="8" defaultColWidth="9.125" defaultRowHeight="14.3"/>
  <cols>
    <col width="16.125" customWidth="1" min="1" max="1"/>
    <col width="15.625" customWidth="1" min="2" max="5"/>
    <col width="11.125" customWidth="1" min="6" max="6"/>
    <col width="12.875" customWidth="1" min="7" max="7"/>
    <col width="19.5" bestFit="1" customWidth="1" min="8" max="8"/>
    <col width="13.625" bestFit="1" customWidth="1" min="9" max="9"/>
    <col width="11.125" bestFit="1" customWidth="1" min="10" max="10"/>
    <col width="11.125" customWidth="1" min="11" max="13"/>
    <col width="16.375" customWidth="1" min="14" max="15"/>
    <col width="19.875" bestFit="1" customWidth="1" style="229" min="16" max="16"/>
    <col width="26.875" bestFit="1" customWidth="1" min="17" max="17"/>
    <col width="18.375" bestFit="1" customWidth="1" min="18" max="18"/>
  </cols>
  <sheetData>
    <row r="1">
      <c r="A1" s="169" t="inlineStr">
        <is>
          <t xml:space="preserve">Veículos Cadastrados </t>
        </is>
      </c>
      <c r="B1" s="170" t="n"/>
      <c r="C1" s="170" t="n"/>
      <c r="D1" s="170" t="n"/>
      <c r="E1" s="170" t="n"/>
      <c r="F1" s="170" t="n"/>
      <c r="G1" s="170" t="n"/>
      <c r="H1" s="170" t="n"/>
      <c r="I1" s="170" t="n"/>
      <c r="J1" s="170" t="n"/>
      <c r="K1" s="170" t="n"/>
      <c r="L1" s="170" t="n"/>
      <c r="M1" s="170" t="n"/>
      <c r="N1" s="170" t="n"/>
      <c r="O1" s="170" t="n"/>
      <c r="P1" s="228" t="n"/>
      <c r="Q1" s="171" t="n"/>
      <c r="R1" s="172" t="n"/>
    </row>
    <row r="2">
      <c r="A2" s="193" t="inlineStr">
        <is>
          <t>Tipo</t>
        </is>
      </c>
      <c r="B2" s="193" t="inlineStr">
        <is>
          <t xml:space="preserve">Modelos </t>
        </is>
      </c>
      <c r="C2" s="193" t="inlineStr">
        <is>
          <t>Tag</t>
        </is>
      </c>
      <c r="D2" s="193" t="inlineStr">
        <is>
          <t>Locadora</t>
        </is>
      </c>
      <c r="E2" s="193" t="inlineStr">
        <is>
          <t>Localidade</t>
        </is>
      </c>
      <c r="F2" s="193" t="inlineStr">
        <is>
          <t>Placa</t>
        </is>
      </c>
      <c r="G2" s="193" t="inlineStr">
        <is>
          <t>SSO</t>
        </is>
      </c>
      <c r="H2" s="193" t="inlineStr">
        <is>
          <t>Condutores</t>
        </is>
      </c>
      <c r="I2" s="193" t="inlineStr">
        <is>
          <t>SEMANA S1</t>
        </is>
      </c>
      <c r="J2" s="193" t="inlineStr">
        <is>
          <t>KM INICIAL</t>
        </is>
      </c>
      <c r="K2" s="216" t="inlineStr">
        <is>
          <t>S1</t>
        </is>
      </c>
      <c r="L2" s="216" t="inlineStr">
        <is>
          <t>S2</t>
        </is>
      </c>
      <c r="M2" s="216" t="inlineStr">
        <is>
          <t>S3</t>
        </is>
      </c>
      <c r="N2" s="216" t="inlineStr">
        <is>
          <t>S4</t>
        </is>
      </c>
      <c r="O2" s="216" t="inlineStr">
        <is>
          <t>S5</t>
        </is>
      </c>
      <c r="P2" s="236" t="inlineStr">
        <is>
          <t>ULTIMA LAVAGEM</t>
        </is>
      </c>
      <c r="Q2" s="261" t="inlineStr">
        <is>
          <t>STATUS DA LAVAGEM</t>
        </is>
      </c>
      <c r="R2" s="216" t="inlineStr">
        <is>
          <t>PROX. LAVAGEM</t>
        </is>
      </c>
    </row>
    <row r="3">
      <c r="A3" s="198" t="inlineStr">
        <is>
          <t>Leve</t>
        </is>
      </c>
      <c r="B3" s="198" t="inlineStr">
        <is>
          <t>Nivus</t>
        </is>
      </c>
      <c r="C3" s="287" t="inlineStr">
        <is>
          <t>TN 01</t>
        </is>
      </c>
      <c r="D3" s="198" t="inlineStr">
        <is>
          <t>Localiza</t>
        </is>
      </c>
      <c r="E3" s="198" t="inlineStr">
        <is>
          <t>VALE</t>
        </is>
      </c>
      <c r="F3" s="198" t="inlineStr">
        <is>
          <t>TYU8F42</t>
        </is>
      </c>
      <c r="G3" s="198" t="inlineStr">
        <is>
          <t>CARAJÁS</t>
        </is>
      </c>
      <c r="H3" s="199" t="inlineStr">
        <is>
          <t>Henrique</t>
        </is>
      </c>
      <c r="I3" s="244" t="n">
        <v>46087</v>
      </c>
      <c r="J3" s="207" t="n">
        <v>1519</v>
      </c>
      <c r="K3" s="237" t="n">
        <v>2229</v>
      </c>
      <c r="L3" s="237" t="n"/>
      <c r="M3" s="207" t="n"/>
      <c r="N3" s="207" t="n"/>
      <c r="O3" s="207" t="n"/>
      <c r="P3" s="242" t="inlineStr">
        <is>
          <t>01.06.2026</t>
        </is>
      </c>
      <c r="Q3" s="260" t="inlineStr">
        <is>
          <t>EM DIA</t>
        </is>
      </c>
      <c r="R3" s="288" t="inlineStr">
        <is>
          <t>19.06.2026</t>
        </is>
      </c>
    </row>
    <row r="4" customFormat="1" s="19">
      <c r="A4" s="235" t="inlineStr">
        <is>
          <t>Caminhonete</t>
        </is>
      </c>
      <c r="B4" s="235" t="inlineStr">
        <is>
          <t>Hillux</t>
        </is>
      </c>
      <c r="C4" s="287" t="inlineStr">
        <is>
          <t>TN 03</t>
        </is>
      </c>
      <c r="D4" s="235" t="inlineStr">
        <is>
          <t>SINAL</t>
        </is>
      </c>
      <c r="E4" s="235" t="inlineStr">
        <is>
          <t>VALE</t>
        </is>
      </c>
      <c r="F4" s="267" t="inlineStr">
        <is>
          <t>TCD7H75</t>
        </is>
      </c>
      <c r="G4" s="238" t="inlineStr">
        <is>
          <t>CARAJÁS</t>
        </is>
      </c>
      <c r="H4" s="245" t="inlineStr">
        <is>
          <t>Waldecyr</t>
        </is>
      </c>
      <c r="I4" s="244" t="n">
        <v>46087</v>
      </c>
      <c r="J4" s="234" t="n">
        <v>47764</v>
      </c>
      <c r="K4" s="237" t="n">
        <v>48591</v>
      </c>
      <c r="L4" s="237" t="n"/>
      <c r="M4" s="207" t="n"/>
      <c r="N4" s="234" t="n"/>
      <c r="O4" s="234" t="n"/>
      <c r="P4" s="242" t="inlineStr">
        <is>
          <t>16.06.2026</t>
        </is>
      </c>
      <c r="Q4" s="260" t="inlineStr">
        <is>
          <t>EM DIA</t>
        </is>
      </c>
      <c r="R4" s="241" t="inlineStr">
        <is>
          <t>17.06.2026</t>
        </is>
      </c>
    </row>
    <row r="5" customFormat="1" s="19">
      <c r="A5" s="235" t="inlineStr">
        <is>
          <t>Caminhonete</t>
        </is>
      </c>
      <c r="B5" s="235" t="inlineStr">
        <is>
          <t>HILLUX</t>
        </is>
      </c>
      <c r="C5" s="60" t="inlineStr">
        <is>
          <t>TN 04</t>
        </is>
      </c>
      <c r="D5" s="235" t="inlineStr">
        <is>
          <t>SINAL</t>
        </is>
      </c>
      <c r="E5" s="235" t="inlineStr">
        <is>
          <t>VALE</t>
        </is>
      </c>
      <c r="F5" s="267" t="inlineStr">
        <is>
          <t>TDM2E37</t>
        </is>
      </c>
      <c r="G5" s="235" t="inlineStr">
        <is>
          <t>CARAJÁS</t>
        </is>
      </c>
      <c r="H5" s="245" t="inlineStr">
        <is>
          <t xml:space="preserve">Samuel </t>
        </is>
      </c>
      <c r="I5" s="244" t="n">
        <v>46087</v>
      </c>
      <c r="J5" s="234" t="n">
        <v>40416</v>
      </c>
      <c r="K5" s="237" t="n">
        <v>41419</v>
      </c>
      <c r="L5" s="237" t="n"/>
      <c r="M5" s="207" t="n"/>
      <c r="N5" s="234" t="n"/>
      <c r="O5" s="234" t="n"/>
      <c r="P5" s="269" t="inlineStr">
        <is>
          <t>19.06.2026</t>
        </is>
      </c>
      <c r="Q5" s="260" t="inlineStr">
        <is>
          <t>EM DIA</t>
        </is>
      </c>
      <c r="R5" s="269" t="inlineStr">
        <is>
          <t>19.06.2026</t>
        </is>
      </c>
    </row>
    <row r="6" customFormat="1" s="19">
      <c r="A6" s="238" t="inlineStr">
        <is>
          <t>Caminhonete</t>
        </is>
      </c>
      <c r="B6" s="238" t="inlineStr">
        <is>
          <t>CHEVROLET S10</t>
        </is>
      </c>
      <c r="C6" s="287" t="inlineStr">
        <is>
          <t>TN 29</t>
        </is>
      </c>
      <c r="D6" s="238" t="inlineStr">
        <is>
          <t>SONDA</t>
        </is>
      </c>
      <c r="E6" s="238" t="inlineStr">
        <is>
          <t>SONDA</t>
        </is>
      </c>
      <c r="F6" s="271" t="inlineStr">
        <is>
          <t>SHX8B70</t>
        </is>
      </c>
      <c r="G6" s="238" t="inlineStr">
        <is>
          <t>CARAJÁS</t>
        </is>
      </c>
      <c r="H6" s="266" t="inlineStr">
        <is>
          <t>Jeanderson Raul</t>
        </is>
      </c>
      <c r="I6" s="244" t="n">
        <v>46087</v>
      </c>
      <c r="J6" s="234" t="inlineStr">
        <is>
          <t>MANUTENÇÃO</t>
        </is>
      </c>
      <c r="K6" s="237" t="n">
        <v>63560</v>
      </c>
      <c r="L6" s="237" t="n"/>
      <c r="M6" s="207" t="n"/>
      <c r="N6" s="234" t="n"/>
      <c r="O6" s="234" t="n"/>
      <c r="P6" s="269" t="inlineStr">
        <is>
          <t>23.05.2026</t>
        </is>
      </c>
      <c r="Q6" s="260" t="inlineStr">
        <is>
          <t>EM DIA</t>
        </is>
      </c>
      <c r="R6" s="269" t="n"/>
    </row>
    <row r="7" customFormat="1" s="19">
      <c r="A7" s="235" t="inlineStr">
        <is>
          <t>Caminhonete</t>
        </is>
      </c>
      <c r="B7" s="235" t="inlineStr">
        <is>
          <t>Hillux</t>
        </is>
      </c>
      <c r="C7" s="287" t="inlineStr">
        <is>
          <t>TN 31</t>
        </is>
      </c>
      <c r="D7" s="235" t="inlineStr">
        <is>
          <t>SINAL</t>
        </is>
      </c>
      <c r="E7" s="235" t="inlineStr">
        <is>
          <t>VALE</t>
        </is>
      </c>
      <c r="F7" s="267" t="inlineStr">
        <is>
          <t>TCD7I68</t>
        </is>
      </c>
      <c r="G7" s="238" t="inlineStr">
        <is>
          <t>CARAJÁS</t>
        </is>
      </c>
      <c r="H7" s="245" t="inlineStr">
        <is>
          <t>Josue</t>
        </is>
      </c>
      <c r="I7" s="244" t="n">
        <v>46087</v>
      </c>
      <c r="J7" s="234" t="n">
        <v>38383</v>
      </c>
      <c r="K7" s="237" t="n">
        <v>39171</v>
      </c>
      <c r="L7" s="237" t="n"/>
      <c r="M7" s="207" t="n"/>
      <c r="N7" s="234" t="n"/>
      <c r="O7" s="234" t="n"/>
      <c r="P7" s="269" t="inlineStr">
        <is>
          <t>29.05.2026</t>
        </is>
      </c>
      <c r="Q7" s="260" t="inlineStr">
        <is>
          <t>EM DIA</t>
        </is>
      </c>
      <c r="R7" s="241" t="n"/>
    </row>
    <row r="8" customFormat="1" s="19">
      <c r="A8" s="235" t="inlineStr">
        <is>
          <t>Caminhonete</t>
        </is>
      </c>
      <c r="B8" s="235" t="inlineStr">
        <is>
          <t xml:space="preserve">FORD RANGER </t>
        </is>
      </c>
      <c r="C8" s="60" t="inlineStr">
        <is>
          <t>TN 72</t>
        </is>
      </c>
      <c r="D8" s="235" t="inlineStr">
        <is>
          <t>SONDA</t>
        </is>
      </c>
      <c r="E8" s="235" t="inlineStr">
        <is>
          <t>SONDA</t>
        </is>
      </c>
      <c r="F8" s="267" t="inlineStr">
        <is>
          <t>FXD9A18</t>
        </is>
      </c>
      <c r="G8" s="238" t="inlineStr">
        <is>
          <t>CARAJÁS</t>
        </is>
      </c>
      <c r="H8" s="245" t="inlineStr">
        <is>
          <t>Rosivaldo</t>
        </is>
      </c>
      <c r="I8" s="244" t="n">
        <v>46087</v>
      </c>
      <c r="J8" s="234" t="n">
        <v>131025</v>
      </c>
      <c r="K8" s="237" t="n">
        <v>132396</v>
      </c>
      <c r="L8" s="237" t="n"/>
      <c r="M8" s="207" t="n"/>
      <c r="N8" s="234" t="n"/>
      <c r="O8" s="234" t="n"/>
      <c r="P8" s="241" t="inlineStr">
        <is>
          <t>25.06.2026</t>
        </is>
      </c>
      <c r="Q8" s="260" t="inlineStr">
        <is>
          <t>EM DIA</t>
        </is>
      </c>
      <c r="R8" s="241" t="inlineStr">
        <is>
          <t>30.01.2026</t>
        </is>
      </c>
    </row>
    <row r="9" customFormat="1" s="19">
      <c r="A9" s="238" t="inlineStr">
        <is>
          <t>Caminhonete</t>
        </is>
      </c>
      <c r="B9" s="238" t="inlineStr">
        <is>
          <t>Strada</t>
        </is>
      </c>
      <c r="C9" s="287" t="inlineStr">
        <is>
          <t>TN 73</t>
        </is>
      </c>
      <c r="D9" s="238" t="inlineStr">
        <is>
          <t>Localiza</t>
        </is>
      </c>
      <c r="E9" s="235" t="inlineStr">
        <is>
          <t>VALE</t>
        </is>
      </c>
      <c r="F9" s="271" t="inlineStr">
        <is>
          <t>TYG3A22</t>
        </is>
      </c>
      <c r="G9" s="238" t="inlineStr">
        <is>
          <t>CARAJÁS</t>
        </is>
      </c>
      <c r="H9" s="248" t="inlineStr">
        <is>
          <t>Renato</t>
        </is>
      </c>
      <c r="I9" s="244" t="n">
        <v>46087</v>
      </c>
      <c r="J9" s="234" t="n">
        <v>4235</v>
      </c>
      <c r="K9" s="237" t="n">
        <v>5025</v>
      </c>
      <c r="L9" s="237" t="n"/>
      <c r="M9" s="207" t="n"/>
      <c r="N9" s="234" t="n"/>
      <c r="O9" s="234" t="n"/>
      <c r="P9" s="274" t="inlineStr">
        <is>
          <t>13.05.2026</t>
        </is>
      </c>
      <c r="Q9" s="260" t="inlineStr">
        <is>
          <t>EM DIA</t>
        </is>
      </c>
      <c r="R9" s="274" t="inlineStr">
        <is>
          <t>19.06.2026</t>
        </is>
      </c>
    </row>
    <row r="10" customFormat="1" s="19">
      <c r="A10" s="235" t="inlineStr">
        <is>
          <t>Caminhonete</t>
        </is>
      </c>
      <c r="B10" s="235" t="inlineStr">
        <is>
          <t>Hillux</t>
        </is>
      </c>
      <c r="C10" s="287" t="inlineStr">
        <is>
          <t>TN 74</t>
        </is>
      </c>
      <c r="D10" s="235" t="inlineStr">
        <is>
          <t>SINAL</t>
        </is>
      </c>
      <c r="E10" s="235" t="inlineStr">
        <is>
          <t>VALE</t>
        </is>
      </c>
      <c r="F10" s="267" t="inlineStr">
        <is>
          <t>RDM2E33</t>
        </is>
      </c>
      <c r="G10" s="235" t="inlineStr">
        <is>
          <t>CARAJÁS</t>
        </is>
      </c>
      <c r="H10" s="245" t="inlineStr">
        <is>
          <t>Ederson</t>
        </is>
      </c>
      <c r="I10" s="244" t="n">
        <v>46087</v>
      </c>
      <c r="J10" s="234" t="n">
        <v>42411</v>
      </c>
      <c r="K10" s="237" t="n">
        <v>44121</v>
      </c>
      <c r="L10" s="237" t="n"/>
      <c r="M10" s="207" t="n"/>
      <c r="N10" s="234" t="n"/>
      <c r="O10" s="234" t="n"/>
      <c r="P10" s="269" t="inlineStr">
        <is>
          <t>20.06.2026</t>
        </is>
      </c>
      <c r="Q10" s="260" t="inlineStr">
        <is>
          <t>EM DIA</t>
        </is>
      </c>
      <c r="R10" s="269" t="inlineStr">
        <is>
          <t>19.06.2026</t>
        </is>
      </c>
    </row>
    <row r="11" customFormat="1" s="19">
      <c r="A11" s="275" t="inlineStr">
        <is>
          <t>Caminhonete</t>
        </is>
      </c>
      <c r="B11" s="235" t="inlineStr">
        <is>
          <t>Hillux</t>
        </is>
      </c>
      <c r="C11" s="286" t="inlineStr">
        <is>
          <t>TN 76</t>
        </is>
      </c>
      <c r="D11" s="275" t="inlineStr">
        <is>
          <t>SINAL</t>
        </is>
      </c>
      <c r="E11" s="235" t="inlineStr">
        <is>
          <t>VALE</t>
        </is>
      </c>
      <c r="F11" s="276" t="inlineStr">
        <is>
          <t>TCD7H72</t>
        </is>
      </c>
      <c r="G11" s="275" t="inlineStr">
        <is>
          <t>CARAJÁS</t>
        </is>
      </c>
      <c r="H11" s="246" t="inlineStr">
        <is>
          <t>Ramiro</t>
        </is>
      </c>
      <c r="I11" s="244" t="n">
        <v>46087</v>
      </c>
      <c r="J11" s="234" t="n">
        <v>39417</v>
      </c>
      <c r="K11" s="237" t="inlineStr">
        <is>
          <t>MANUTENÇÃO</t>
        </is>
      </c>
      <c r="L11" s="237" t="n"/>
      <c r="M11" s="207" t="n"/>
      <c r="N11" s="234" t="n"/>
      <c r="O11" s="234" t="n"/>
      <c r="P11" s="269" t="inlineStr">
        <is>
          <t>10.05.2026</t>
        </is>
      </c>
      <c r="Q11" s="260" t="inlineStr">
        <is>
          <t>EM DIA</t>
        </is>
      </c>
      <c r="R11" s="241" t="inlineStr">
        <is>
          <t>18.06.2026</t>
        </is>
      </c>
    </row>
    <row r="12" customFormat="1" s="19">
      <c r="A12" s="247" t="inlineStr">
        <is>
          <t>Caminhonete</t>
        </is>
      </c>
      <c r="B12" s="278" t="inlineStr">
        <is>
          <t xml:space="preserve">FORD RANGER </t>
        </is>
      </c>
      <c r="C12" s="285" t="inlineStr">
        <is>
          <t>TN 78</t>
        </is>
      </c>
      <c r="D12" s="247" t="inlineStr">
        <is>
          <t>SONDA</t>
        </is>
      </c>
      <c r="E12" s="247" t="inlineStr">
        <is>
          <t>SONDA</t>
        </is>
      </c>
      <c r="F12" s="279" t="inlineStr">
        <is>
          <t xml:space="preserve">FZY4F28 </t>
        </is>
      </c>
      <c r="G12" s="247" t="inlineStr">
        <is>
          <t>CARAJÁS</t>
        </is>
      </c>
      <c r="H12" s="247" t="inlineStr">
        <is>
          <t xml:space="preserve">Gabriel Garcia  </t>
        </is>
      </c>
      <c r="I12" s="244" t="n">
        <v>46087</v>
      </c>
      <c r="J12" s="234" t="n">
        <v>138448</v>
      </c>
      <c r="K12" s="237" t="n">
        <v>140251</v>
      </c>
      <c r="L12" s="237" t="n"/>
      <c r="M12" s="207" t="n"/>
      <c r="N12" s="234" t="n"/>
      <c r="O12" s="234" t="n"/>
      <c r="P12" s="241" t="inlineStr">
        <is>
          <t>25.06.2026</t>
        </is>
      </c>
      <c r="Q12" s="260" t="inlineStr">
        <is>
          <t>EM DIA</t>
        </is>
      </c>
      <c r="R12" s="241" t="inlineStr">
        <is>
          <t>09.04.2026</t>
        </is>
      </c>
    </row>
    <row r="13"/>
    <row r="14">
      <c r="A14" s="169" t="inlineStr">
        <is>
          <t xml:space="preserve">Veículos Cadastrados </t>
        </is>
      </c>
      <c r="B14" s="170" t="n"/>
      <c r="C14" s="170" t="n"/>
      <c r="D14" s="170" t="n"/>
      <c r="E14" s="170" t="n"/>
      <c r="F14" s="255" t="n"/>
      <c r="G14" s="170" t="n"/>
      <c r="H14" s="170" t="n"/>
      <c r="I14" s="170" t="n"/>
      <c r="J14" s="170" t="n"/>
      <c r="K14" s="170" t="n"/>
      <c r="L14" s="170" t="n"/>
      <c r="M14" s="170" t="n"/>
      <c r="N14" s="170" t="n"/>
      <c r="O14" s="170" t="n"/>
      <c r="P14" s="228" t="n"/>
      <c r="Q14" s="171" t="n"/>
      <c r="R14" s="172" t="n"/>
    </row>
    <row r="15" hidden="1">
      <c r="A15" s="193" t="inlineStr">
        <is>
          <t>Tipo</t>
        </is>
      </c>
      <c r="B15" s="193" t="inlineStr">
        <is>
          <t xml:space="preserve">Modelos </t>
        </is>
      </c>
      <c r="C15" s="193" t="inlineStr">
        <is>
          <t>Tag</t>
        </is>
      </c>
      <c r="D15" s="193" t="inlineStr">
        <is>
          <t>Locadora</t>
        </is>
      </c>
      <c r="E15" s="193" t="inlineStr">
        <is>
          <t>Localidade</t>
        </is>
      </c>
      <c r="F15" s="193" t="inlineStr">
        <is>
          <t>Placa</t>
        </is>
      </c>
      <c r="G15" s="193" t="inlineStr">
        <is>
          <t>SSO</t>
        </is>
      </c>
      <c r="H15" s="193" t="inlineStr">
        <is>
          <t>Condutores</t>
        </is>
      </c>
      <c r="I15" s="193" t="inlineStr">
        <is>
          <t>SEMANA 02</t>
        </is>
      </c>
      <c r="J15" s="193" t="inlineStr">
        <is>
          <t>KM TOTAL</t>
        </is>
      </c>
      <c r="K15" s="216" t="inlineStr">
        <is>
          <t>S1</t>
        </is>
      </c>
      <c r="L15" s="216" t="inlineStr">
        <is>
          <t>S2</t>
        </is>
      </c>
      <c r="M15" s="216" t="inlineStr">
        <is>
          <t>S3</t>
        </is>
      </c>
      <c r="N15" s="216" t="inlineStr">
        <is>
          <t>S4</t>
        </is>
      </c>
      <c r="O15" s="216" t="n"/>
      <c r="P15" s="230" t="inlineStr">
        <is>
          <t>ULTIMA LAVAGEM</t>
        </is>
      </c>
      <c r="Q15" s="231" t="inlineStr">
        <is>
          <t xml:space="preserve">LAVAGEM PROGRAMADA </t>
        </is>
      </c>
      <c r="R15" s="232" t="inlineStr">
        <is>
          <t>PROX. LAVAGEM</t>
        </is>
      </c>
    </row>
    <row r="16" hidden="1">
      <c r="A16" s="198" t="inlineStr">
        <is>
          <t>Leve</t>
        </is>
      </c>
      <c r="B16" s="198" t="inlineStr">
        <is>
          <t>Tracker</t>
        </is>
      </c>
      <c r="C16" s="198" t="inlineStr">
        <is>
          <t>TN 01</t>
        </is>
      </c>
      <c r="D16" s="198" t="inlineStr">
        <is>
          <t>Localiza</t>
        </is>
      </c>
      <c r="E16" s="198" t="inlineStr">
        <is>
          <t>CKS</t>
        </is>
      </c>
      <c r="F16" s="198" t="inlineStr">
        <is>
          <t>TCO2C15</t>
        </is>
      </c>
      <c r="G16" s="198" t="inlineStr">
        <is>
          <t>CARAJÁS</t>
        </is>
      </c>
      <c r="H16" s="200" t="inlineStr">
        <is>
          <t>Fabricio Maia</t>
        </is>
      </c>
      <c r="I16" s="161" t="n">
        <v>45912</v>
      </c>
      <c r="J16" s="201">
        <f>SUM(K16:N16)</f>
        <v/>
      </c>
      <c r="K16" s="207">
        <f>K3-$J3</f>
        <v/>
      </c>
      <c r="L16" s="207">
        <f>L3-$J3</f>
        <v/>
      </c>
      <c r="M16" s="207">
        <f>M3-$J3</f>
        <v/>
      </c>
      <c r="N16" s="207">
        <f>N3-$J3</f>
        <v/>
      </c>
      <c r="O16" s="207" t="n"/>
      <c r="P16" s="141" t="n">
        <v>45891</v>
      </c>
      <c r="Q16" s="218" t="n"/>
      <c r="R16" s="98" t="n"/>
    </row>
    <row r="17" hidden="1">
      <c r="A17" s="198" t="inlineStr">
        <is>
          <t>Caminhonete</t>
        </is>
      </c>
      <c r="B17" s="198" t="inlineStr">
        <is>
          <t>Hillux</t>
        </is>
      </c>
      <c r="C17" s="198" t="inlineStr">
        <is>
          <t>TN 03</t>
        </is>
      </c>
      <c r="D17" s="198" t="inlineStr">
        <is>
          <t>SINAL</t>
        </is>
      </c>
      <c r="E17" s="198" t="inlineStr">
        <is>
          <t>CKS</t>
        </is>
      </c>
      <c r="F17" s="198" t="inlineStr">
        <is>
          <t>TCD7H75</t>
        </is>
      </c>
      <c r="G17" s="197" t="inlineStr">
        <is>
          <t>CARAJÁS</t>
        </is>
      </c>
      <c r="H17" s="199" t="inlineStr">
        <is>
          <t>Lucas</t>
        </is>
      </c>
      <c r="I17" s="161" t="n">
        <v>45912</v>
      </c>
      <c r="J17" s="201">
        <f>SUM(K17:N17)</f>
        <v/>
      </c>
      <c r="K17" s="207">
        <f>K4-$J4</f>
        <v/>
      </c>
      <c r="L17" s="207">
        <f>L4-$J4</f>
        <v/>
      </c>
      <c r="M17" s="207">
        <f>M4-$J4</f>
        <v/>
      </c>
      <c r="N17" s="207">
        <f>N4-$J4</f>
        <v/>
      </c>
      <c r="O17" s="207" t="n"/>
      <c r="P17" s="141" t="n">
        <v>45896</v>
      </c>
      <c r="Q17" s="218" t="inlineStr">
        <is>
          <t>pendente</t>
        </is>
      </c>
      <c r="R17" s="99" t="n">
        <v>45921</v>
      </c>
    </row>
    <row r="18" hidden="1">
      <c r="A18" s="198" t="inlineStr">
        <is>
          <t>Caminhonete</t>
        </is>
      </c>
      <c r="B18" s="198" t="inlineStr">
        <is>
          <t>HILLUX</t>
        </is>
      </c>
      <c r="C18" s="198" t="inlineStr">
        <is>
          <t>TN 04</t>
        </is>
      </c>
      <c r="D18" s="198" t="inlineStr">
        <is>
          <t>SINAL</t>
        </is>
      </c>
      <c r="E18" s="198" t="inlineStr">
        <is>
          <t>CKS</t>
        </is>
      </c>
      <c r="F18" s="198" t="inlineStr">
        <is>
          <t>TDM2E37</t>
        </is>
      </c>
      <c r="G18" s="198" t="inlineStr">
        <is>
          <t>CARAJÁS</t>
        </is>
      </c>
      <c r="H18" s="200" t="inlineStr">
        <is>
          <t>MATHEUS</t>
        </is>
      </c>
      <c r="I18" s="161" t="n">
        <v>45912</v>
      </c>
      <c r="J18" s="201">
        <f>SUM(K18:N18)</f>
        <v/>
      </c>
      <c r="K18" s="207">
        <f>K5-$J5</f>
        <v/>
      </c>
      <c r="L18" s="207">
        <f>L5-$J5</f>
        <v/>
      </c>
      <c r="M18" s="207">
        <f>M5-$J5</f>
        <v/>
      </c>
      <c r="N18" s="207">
        <f>N5-$J5</f>
        <v/>
      </c>
      <c r="O18" s="207" t="n"/>
      <c r="P18" s="141" t="n">
        <v>45908</v>
      </c>
      <c r="Q18" s="182" t="inlineStr">
        <is>
          <t>ok</t>
        </is>
      </c>
      <c r="R18" s="99" t="n">
        <v>45919</v>
      </c>
    </row>
    <row r="19" hidden="1">
      <c r="A19" s="197" t="inlineStr">
        <is>
          <t>Caminhonete</t>
        </is>
      </c>
      <c r="B19" s="197" t="inlineStr">
        <is>
          <t>CHEVROLET S10</t>
        </is>
      </c>
      <c r="C19" s="198" t="inlineStr">
        <is>
          <t>TN 29</t>
        </is>
      </c>
      <c r="D19" s="197" t="inlineStr">
        <is>
          <t>Sonda</t>
        </is>
      </c>
      <c r="E19" s="197" t="inlineStr">
        <is>
          <t>CKS</t>
        </is>
      </c>
      <c r="F19" s="197" t="inlineStr">
        <is>
          <t>FXR0F35</t>
        </is>
      </c>
      <c r="G19" s="197" t="inlineStr">
        <is>
          <t>CARAJÁS</t>
        </is>
      </c>
      <c r="H19" s="199" t="inlineStr">
        <is>
          <t>JOÃO TAVARES</t>
        </is>
      </c>
      <c r="I19" s="161" t="n">
        <v>45912</v>
      </c>
      <c r="J19" s="201">
        <f>SUM(K19:N19)</f>
        <v/>
      </c>
      <c r="K19" s="207">
        <f>K6-$J6</f>
        <v/>
      </c>
      <c r="L19" s="207">
        <f>L6-$J6</f>
        <v/>
      </c>
      <c r="M19" s="207">
        <f>M6-$J6</f>
        <v/>
      </c>
      <c r="N19" s="207">
        <f>N6-$J6</f>
        <v/>
      </c>
      <c r="O19" s="207" t="n"/>
      <c r="P19" s="141" t="n">
        <v>45916</v>
      </c>
      <c r="Q19" s="182" t="inlineStr">
        <is>
          <t>ok</t>
        </is>
      </c>
      <c r="R19" s="99" t="n">
        <v>45924</v>
      </c>
    </row>
    <row r="20" hidden="1">
      <c r="A20" s="198" t="inlineStr">
        <is>
          <t>Caminhonete</t>
        </is>
      </c>
      <c r="B20" s="198" t="inlineStr">
        <is>
          <t>Hillux</t>
        </is>
      </c>
      <c r="C20" s="198" t="inlineStr">
        <is>
          <t>TN 31</t>
        </is>
      </c>
      <c r="D20" s="198" t="inlineStr">
        <is>
          <t>SINAL</t>
        </is>
      </c>
      <c r="E20" s="198" t="inlineStr">
        <is>
          <t>CKS</t>
        </is>
      </c>
      <c r="F20" s="198" t="inlineStr">
        <is>
          <t>TCD7I68</t>
        </is>
      </c>
      <c r="G20" s="197" t="inlineStr">
        <is>
          <t>CARAJÁS</t>
        </is>
      </c>
      <c r="H20" s="199" t="inlineStr">
        <is>
          <t>Lucas</t>
        </is>
      </c>
      <c r="I20" s="161" t="n">
        <v>45912</v>
      </c>
      <c r="J20" s="201">
        <f>SUM(K20:N20)</f>
        <v/>
      </c>
      <c r="K20" s="207">
        <f>K7-$J7</f>
        <v/>
      </c>
      <c r="L20" s="207">
        <f>L7-$J7</f>
        <v/>
      </c>
      <c r="M20" s="207">
        <f>M7-$J7</f>
        <v/>
      </c>
      <c r="N20" s="207">
        <f>N7-$J7</f>
        <v/>
      </c>
      <c r="O20" s="207" t="n"/>
      <c r="P20" s="141" t="n">
        <v>45901</v>
      </c>
      <c r="Q20" s="182" t="inlineStr">
        <is>
          <t>pendente</t>
        </is>
      </c>
      <c r="R20" s="99" t="n">
        <v>45920</v>
      </c>
    </row>
    <row r="21" hidden="1">
      <c r="A21" s="198" t="inlineStr">
        <is>
          <t>Caminhonete</t>
        </is>
      </c>
      <c r="B21" s="198" t="inlineStr">
        <is>
          <t xml:space="preserve">FORD RANGER </t>
        </is>
      </c>
      <c r="C21" s="198" t="inlineStr">
        <is>
          <t>TN 72</t>
        </is>
      </c>
      <c r="D21" s="198" t="inlineStr">
        <is>
          <t>Sonda</t>
        </is>
      </c>
      <c r="E21" s="198" t="inlineStr">
        <is>
          <t>CKS</t>
        </is>
      </c>
      <c r="F21" s="198" t="inlineStr">
        <is>
          <t>FXD9A18</t>
        </is>
      </c>
      <c r="G21" s="197" t="inlineStr">
        <is>
          <t>CARAJÁS</t>
        </is>
      </c>
      <c r="H21" s="199" t="inlineStr">
        <is>
          <t>RAIMUNDO CHARLES</t>
        </is>
      </c>
      <c r="I21" s="161" t="n">
        <v>45912</v>
      </c>
      <c r="J21" s="201">
        <f>SUM(K21:N21)</f>
        <v/>
      </c>
      <c r="K21" s="207">
        <f>K8-$J8</f>
        <v/>
      </c>
      <c r="L21" s="207">
        <f>L8-$J8</f>
        <v/>
      </c>
      <c r="M21" s="207">
        <f>M8-$J8</f>
        <v/>
      </c>
      <c r="N21" s="207">
        <f>N8-$J8</f>
        <v/>
      </c>
      <c r="O21" s="207" t="n"/>
      <c r="P21" s="141" t="n">
        <v>45904</v>
      </c>
      <c r="Q21" s="218" t="inlineStr">
        <is>
          <t>pendente</t>
        </is>
      </c>
      <c r="R21" s="99" t="n">
        <v>45926</v>
      </c>
    </row>
    <row r="22" hidden="1">
      <c r="A22" s="197" t="inlineStr">
        <is>
          <t>Caminhonete</t>
        </is>
      </c>
      <c r="B22" s="197" t="inlineStr">
        <is>
          <t>Hillux</t>
        </is>
      </c>
      <c r="C22" s="198" t="inlineStr">
        <is>
          <t>TN 73</t>
        </is>
      </c>
      <c r="D22" s="197" t="inlineStr">
        <is>
          <t>SINAL</t>
        </is>
      </c>
      <c r="E22" s="197" t="inlineStr">
        <is>
          <t>CKS</t>
        </is>
      </c>
      <c r="F22" s="197" t="inlineStr">
        <is>
          <t>TCD7H73</t>
        </is>
      </c>
      <c r="G22" s="197" t="inlineStr">
        <is>
          <t>CARAJÁS</t>
        </is>
      </c>
      <c r="H22" s="199" t="inlineStr">
        <is>
          <t>William</t>
        </is>
      </c>
      <c r="I22" s="161" t="n">
        <v>45912</v>
      </c>
      <c r="J22" s="201">
        <f>SUM(K22:N22)</f>
        <v/>
      </c>
      <c r="K22" s="207">
        <f>K9-$J9</f>
        <v/>
      </c>
      <c r="L22" s="207">
        <f>L9-$J9</f>
        <v/>
      </c>
      <c r="M22" s="207">
        <f>M9-$J9</f>
        <v/>
      </c>
      <c r="N22" s="207">
        <f>N9-$J9</f>
        <v/>
      </c>
      <c r="O22" s="251" t="n"/>
      <c r="P22" s="59" t="n">
        <v>45905</v>
      </c>
      <c r="Q22" s="184" t="inlineStr">
        <is>
          <t>pendente</t>
        </is>
      </c>
      <c r="R22" s="99" t="n">
        <v>45924</v>
      </c>
    </row>
    <row r="23" hidden="1">
      <c r="A23" s="198" t="inlineStr">
        <is>
          <t>Caminhonete</t>
        </is>
      </c>
      <c r="B23" s="198" t="inlineStr">
        <is>
          <t>Ranger</t>
        </is>
      </c>
      <c r="C23" s="198" t="inlineStr">
        <is>
          <t>TN 74</t>
        </is>
      </c>
      <c r="D23" s="198" t="inlineStr">
        <is>
          <t>SONDA</t>
        </is>
      </c>
      <c r="E23" s="198" t="inlineStr">
        <is>
          <t>CKS</t>
        </is>
      </c>
      <c r="F23" s="198" t="inlineStr">
        <is>
          <t>RDM2E33</t>
        </is>
      </c>
      <c r="G23" s="198" t="inlineStr">
        <is>
          <t>CARAJÁS</t>
        </is>
      </c>
      <c r="H23" s="200" t="inlineStr">
        <is>
          <t>Ederson</t>
        </is>
      </c>
      <c r="I23" s="161" t="n">
        <v>45912</v>
      </c>
      <c r="J23" s="201">
        <f>SUM(K23:N23)</f>
        <v/>
      </c>
      <c r="K23" s="207">
        <f>K10-$J10</f>
        <v/>
      </c>
      <c r="L23" s="207">
        <f>L10-$J10</f>
        <v/>
      </c>
      <c r="M23" s="207">
        <f>M10-$J10</f>
        <v/>
      </c>
      <c r="N23" s="207">
        <f>N10-$J10</f>
        <v/>
      </c>
      <c r="O23" s="207" t="n"/>
      <c r="P23" s="141" t="n">
        <v>45918</v>
      </c>
      <c r="Q23" s="184" t="inlineStr">
        <is>
          <t>ok</t>
        </is>
      </c>
      <c r="R23" s="99" t="n">
        <v>45923</v>
      </c>
    </row>
    <row r="24" hidden="1">
      <c r="A24" s="209" t="inlineStr">
        <is>
          <t>Caminhonete</t>
        </is>
      </c>
      <c r="B24" s="209" t="inlineStr">
        <is>
          <t>NISSAN FRONTIER</t>
        </is>
      </c>
      <c r="C24" s="209" t="inlineStr">
        <is>
          <t>TN 76</t>
        </is>
      </c>
      <c r="D24" s="209" t="inlineStr">
        <is>
          <t>SINAL</t>
        </is>
      </c>
      <c r="E24" s="209" t="inlineStr">
        <is>
          <t>CKS</t>
        </is>
      </c>
      <c r="F24" s="209" t="inlineStr">
        <is>
          <t>TCD7H72</t>
        </is>
      </c>
      <c r="G24" s="209" t="inlineStr">
        <is>
          <t>CARAJÁS</t>
        </is>
      </c>
      <c r="H24" s="217" t="inlineStr">
        <is>
          <t>Renan</t>
        </is>
      </c>
      <c r="I24" s="161" t="n">
        <v>45912</v>
      </c>
      <c r="J24" s="201">
        <f>SUM(K24:N24)</f>
        <v/>
      </c>
      <c r="K24" s="207">
        <f>K11-$J11</f>
        <v/>
      </c>
      <c r="L24" s="207">
        <f>L11-$J11</f>
        <v/>
      </c>
      <c r="M24" s="207">
        <f>M11-$J11</f>
        <v/>
      </c>
      <c r="N24" s="207">
        <f>N11-$J11</f>
        <v/>
      </c>
      <c r="O24" s="207" t="n"/>
      <c r="P24" s="141" t="n">
        <v>45901</v>
      </c>
      <c r="Q24" s="184" t="inlineStr">
        <is>
          <t>pendente</t>
        </is>
      </c>
      <c r="R24" s="99" t="n">
        <v>45922</v>
      </c>
    </row>
    <row r="25" hidden="1">
      <c r="A25" s="202" t="inlineStr">
        <is>
          <t>Caminhonete</t>
        </is>
      </c>
      <c r="B25" s="204" t="inlineStr">
        <is>
          <t>NISSAN FRONTIER</t>
        </is>
      </c>
      <c r="C25" s="204" t="inlineStr">
        <is>
          <t>TN78</t>
        </is>
      </c>
      <c r="D25" s="202" t="inlineStr">
        <is>
          <t>SONDA</t>
        </is>
      </c>
      <c r="E25" s="202" t="inlineStr">
        <is>
          <t>CKS</t>
        </is>
      </c>
      <c r="F25" s="202" t="inlineStr">
        <is>
          <t xml:space="preserve">FZY4F28 </t>
        </is>
      </c>
      <c r="G25" s="202" t="inlineStr">
        <is>
          <t>CARAJÁS</t>
        </is>
      </c>
      <c r="H25" s="202" t="inlineStr">
        <is>
          <t>Ederson</t>
        </is>
      </c>
      <c r="I25" s="161" t="n">
        <v>45912</v>
      </c>
      <c r="J25" s="201">
        <f>SUM(K25:N25)</f>
        <v/>
      </c>
      <c r="K25" s="207">
        <f>K12-$J12</f>
        <v/>
      </c>
      <c r="L25" s="207">
        <f>L12-$J12</f>
        <v/>
      </c>
      <c r="M25" s="207">
        <f>M12-$J12</f>
        <v/>
      </c>
      <c r="N25" s="207">
        <f>N12-$J12</f>
        <v/>
      </c>
      <c r="O25" s="207" t="n"/>
      <c r="P25" s="141" t="n">
        <v>45905</v>
      </c>
      <c r="Q25" s="184" t="inlineStr">
        <is>
          <t>pendente</t>
        </is>
      </c>
      <c r="R25" s="99" t="n">
        <v>45922</v>
      </c>
    </row>
    <row r="26" ht="14.95" customHeight="1" thickBot="1"/>
    <row r="27" ht="28.55" customHeight="1">
      <c r="A27" s="319" t="inlineStr">
        <is>
          <t>ACOMPANHAMENTO KM SEMANA</t>
        </is>
      </c>
      <c r="B27" s="328" t="n"/>
      <c r="C27" s="328" t="n"/>
      <c r="D27" s="328" t="n"/>
      <c r="E27" s="328" t="n"/>
      <c r="F27" s="226" t="n"/>
      <c r="G27" s="250" t="inlineStr">
        <is>
          <t>ULTIMA LAVAGEM</t>
        </is>
      </c>
      <c r="H27" s="259" t="inlineStr">
        <is>
          <t>Proxima Lavagem</t>
        </is>
      </c>
    </row>
    <row r="28" ht="14.95" customHeight="1" thickBot="1">
      <c r="A28" s="227" t="inlineStr">
        <is>
          <t>TAG</t>
        </is>
      </c>
      <c r="B28" s="222" t="inlineStr">
        <is>
          <t>S1</t>
        </is>
      </c>
      <c r="C28" s="222" t="inlineStr">
        <is>
          <t>S2</t>
        </is>
      </c>
      <c r="D28" s="222" t="inlineStr">
        <is>
          <t>S3</t>
        </is>
      </c>
      <c r="E28" s="223" t="inlineStr">
        <is>
          <t>S4</t>
        </is>
      </c>
      <c r="F28" s="223" t="inlineStr">
        <is>
          <t>S5</t>
        </is>
      </c>
      <c r="G28" s="224" t="inlineStr">
        <is>
          <t>ACUM.</t>
        </is>
      </c>
      <c r="H28" s="225" t="n"/>
      <c r="Q28" s="229" t="n"/>
    </row>
    <row r="29" ht="14.95" customHeight="1" thickBot="1">
      <c r="A29" s="252" t="inlineStr">
        <is>
          <t>TN 01</t>
        </is>
      </c>
      <c r="B29" s="253" t="n">
        <v>710</v>
      </c>
      <c r="C29" s="254" t="n"/>
      <c r="D29" s="254" t="n"/>
      <c r="E29" s="254" t="n"/>
      <c r="F29" s="254" t="n"/>
      <c r="G29" s="257" t="n">
        <v>710</v>
      </c>
      <c r="H29" s="239">
        <f>R3</f>
        <v/>
      </c>
      <c r="Q29" s="229" t="n"/>
    </row>
    <row r="30" ht="14.95" customHeight="1" thickBot="1">
      <c r="A30" s="219" t="inlineStr">
        <is>
          <t>TN 03</t>
        </is>
      </c>
      <c r="B30" s="253" t="n">
        <v>827</v>
      </c>
      <c r="C30" s="254" t="n"/>
      <c r="D30" s="254" t="n"/>
      <c r="E30" s="254" t="n"/>
      <c r="F30" s="254" t="n"/>
      <c r="G30" s="257" t="n">
        <v>827</v>
      </c>
      <c r="H30" s="239">
        <f>R4</f>
        <v/>
      </c>
      <c r="Q30" s="229" t="n"/>
    </row>
    <row r="31" ht="14.95" customHeight="1" thickBot="1">
      <c r="A31" s="219" t="inlineStr">
        <is>
          <t>TN 04</t>
        </is>
      </c>
      <c r="B31" s="253" t="n">
        <v>1003</v>
      </c>
      <c r="C31" s="254" t="n"/>
      <c r="D31" s="254" t="n"/>
      <c r="E31" s="254" t="n"/>
      <c r="F31" s="254" t="n"/>
      <c r="G31" s="257" t="n">
        <v>1003</v>
      </c>
      <c r="H31" s="239">
        <f>R5</f>
        <v/>
      </c>
      <c r="Q31" s="229" t="n"/>
    </row>
    <row r="32" ht="14.95" customHeight="1" thickBot="1">
      <c r="A32" s="219" t="inlineStr">
        <is>
          <t>TN 29</t>
        </is>
      </c>
      <c r="B32" s="253" t="n"/>
      <c r="C32" s="254" t="n"/>
      <c r="D32" s="254" t="n"/>
      <c r="E32" s="254" t="n"/>
      <c r="F32" s="254" t="n"/>
      <c r="G32" s="257" t="n">
        <v>0</v>
      </c>
      <c r="H32" s="239">
        <f>R6</f>
        <v/>
      </c>
      <c r="Q32" s="229" t="n"/>
    </row>
    <row r="33" ht="14.95" customHeight="1" thickBot="1">
      <c r="A33" s="219" t="inlineStr">
        <is>
          <t>TN 31</t>
        </is>
      </c>
      <c r="B33" s="253" t="n">
        <v>788</v>
      </c>
      <c r="C33" s="254" t="n"/>
      <c r="D33" s="254" t="n"/>
      <c r="E33" s="254" t="n"/>
      <c r="F33" s="254" t="n"/>
      <c r="G33" s="257" t="n">
        <v>788</v>
      </c>
      <c r="H33" s="239">
        <f>R7</f>
        <v/>
      </c>
      <c r="Q33" s="229" t="n"/>
    </row>
    <row r="34" ht="14.95" customHeight="1" thickBot="1">
      <c r="A34" s="219" t="inlineStr">
        <is>
          <t>TN 72</t>
        </is>
      </c>
      <c r="B34" s="253" t="n">
        <v>1371</v>
      </c>
      <c r="C34" s="254" t="n"/>
      <c r="D34" s="254" t="n"/>
      <c r="E34" s="254" t="n"/>
      <c r="F34" s="254" t="n"/>
      <c r="G34" s="257" t="n">
        <v>1371</v>
      </c>
      <c r="H34" s="239">
        <f>R8</f>
        <v/>
      </c>
      <c r="Q34" s="229" t="n"/>
    </row>
    <row r="35" ht="14.95" customHeight="1" thickBot="1">
      <c r="A35" s="219" t="inlineStr">
        <is>
          <t>TN 73</t>
        </is>
      </c>
      <c r="B35" s="253" t="n">
        <v>790</v>
      </c>
      <c r="C35" s="254" t="n"/>
      <c r="D35" s="254" t="n"/>
      <c r="E35" s="254" t="n"/>
      <c r="F35" s="254" t="n"/>
      <c r="G35" s="257" t="n">
        <v>790</v>
      </c>
      <c r="H35" s="239">
        <f>R9</f>
        <v/>
      </c>
      <c r="Q35" s="229" t="n"/>
    </row>
    <row r="36" ht="14.95" customHeight="1" thickBot="1">
      <c r="A36" s="219" t="inlineStr">
        <is>
          <t>TN 74</t>
        </is>
      </c>
      <c r="B36" s="253" t="n">
        <v>1710</v>
      </c>
      <c r="C36" s="254" t="n"/>
      <c r="D36" s="254" t="n"/>
      <c r="E36" s="254" t="n"/>
      <c r="F36" s="254" t="n"/>
      <c r="G36" s="257" t="n">
        <v>1710</v>
      </c>
      <c r="H36" s="239">
        <f>R10</f>
        <v/>
      </c>
      <c r="Q36" s="229" t="n"/>
    </row>
    <row r="37" ht="14.95" customHeight="1" thickBot="1">
      <c r="A37" s="220" t="inlineStr">
        <is>
          <t>TN 76</t>
        </is>
      </c>
      <c r="B37" s="253" t="n"/>
      <c r="C37" s="254" t="n"/>
      <c r="D37" s="254" t="n"/>
      <c r="E37" s="254" t="n"/>
      <c r="F37" s="254" t="n"/>
      <c r="G37" s="257" t="n"/>
      <c r="H37" s="239">
        <f>R11</f>
        <v/>
      </c>
      <c r="Q37" s="229" t="n"/>
    </row>
    <row r="38" ht="14.95" customHeight="1" thickBot="1">
      <c r="A38" s="221" t="inlineStr">
        <is>
          <t>TN78</t>
        </is>
      </c>
      <c r="B38" s="253" t="n">
        <v>1803</v>
      </c>
      <c r="C38" s="254" t="n"/>
      <c r="D38" s="254" t="n"/>
      <c r="E38" s="254" t="n"/>
      <c r="F38" s="254" t="n"/>
      <c r="G38" s="257" t="n">
        <v>1803</v>
      </c>
      <c r="H38" s="239">
        <f>R12</f>
        <v/>
      </c>
      <c r="Q38" s="229" t="n"/>
    </row>
  </sheetData>
  <autoFilter ref="A2:R2">
    <sortState ref="A3:R12">
      <sortCondition ref="C2"/>
    </sortState>
  </autoFilter>
  <mergeCells count="1">
    <mergeCell ref="A27:E27"/>
  </mergeCells>
  <conditionalFormatting sqref="B29:B38 C30:E30 E31:E38 F30:G38">
    <cfRule type="cellIs" priority="16" operator="between" dxfId="8">
      <formula>1</formula>
      <formula>299</formula>
    </cfRule>
    <cfRule type="cellIs" priority="14" operator="greaterThan" dxfId="1">
      <formula>500</formula>
    </cfRule>
    <cfRule type="cellIs" priority="15" operator="between" dxfId="2">
      <formula>300</formula>
      <formula>500</formula>
    </cfRule>
  </conditionalFormatting>
  <conditionalFormatting sqref="B29:G38">
    <cfRule type="cellIs" priority="17" operator="equal">
      <formula>0</formula>
    </cfRule>
  </conditionalFormatting>
  <conditionalFormatting sqref="C29:G38">
    <cfRule type="cellIs" priority="11" operator="between" dxfId="8">
      <formula>1</formula>
      <formula>600</formula>
    </cfRule>
    <cfRule type="cellIs" priority="12" operator="between" dxfId="2">
      <formula>600</formula>
      <formula>1000</formula>
    </cfRule>
    <cfRule type="cellIs" priority="13" operator="greaterThan" dxfId="1">
      <formula>1000</formula>
    </cfRule>
  </conditionalFormatting>
  <conditionalFormatting sqref="D29:G38">
    <cfRule type="cellIs" priority="8" operator="greaterThan" dxfId="1">
      <formula>1501</formula>
    </cfRule>
    <cfRule type="cellIs" priority="9" operator="between" dxfId="8">
      <formula>1</formula>
      <formula>900</formula>
    </cfRule>
    <cfRule type="cellIs" priority="10" operator="between" dxfId="2">
      <formula>900</formula>
      <formula>1500</formula>
    </cfRule>
  </conditionalFormatting>
  <conditionalFormatting sqref="E30:F38">
    <cfRule type="cellIs" priority="7" operator="greaterThan" dxfId="1">
      <formula>2000</formula>
    </cfRule>
  </conditionalFormatting>
  <conditionalFormatting sqref="E30:F38 G29:G38">
    <cfRule type="cellIs" priority="5" operator="between" dxfId="2">
      <formula>1201</formula>
      <formula>2000</formula>
    </cfRule>
    <cfRule type="cellIs" priority="6" operator="between" dxfId="1">
      <formula>1</formula>
      <formula>1200</formula>
    </cfRule>
  </conditionalFormatting>
  <conditionalFormatting sqref="G29:G38">
    <cfRule type="cellIs" priority="1" operator="between" dxfId="2">
      <formula>1500</formula>
      <formula>2000</formula>
    </cfRule>
    <cfRule type="cellIs" priority="2" operator="between" dxfId="2">
      <formula>1200</formula>
      <formula>2000</formula>
    </cfRule>
    <cfRule type="cellIs" priority="3" operator="greaterThan" dxfId="1">
      <formula>2000</formula>
    </cfRule>
  </conditionalFormatting>
  <conditionalFormatting sqref="H29:H38">
    <cfRule type="cellIs" priority="4" operator="lessThan" dxfId="0">
      <formula>$H$28</formula>
    </cfRule>
  </conditionalFormatting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R38"/>
  <sheetViews>
    <sheetView view="pageBreakPreview" zoomScaleNormal="90" zoomScaleSheetLayoutView="100" workbookViewId="0">
      <selection activeCell="E30" sqref="E30"/>
    </sheetView>
  </sheetViews>
  <sheetFormatPr baseColWidth="8" defaultColWidth="9.125" defaultRowHeight="14.3"/>
  <cols>
    <col width="16.125" customWidth="1" min="1" max="1"/>
    <col width="15.625" customWidth="1" min="2" max="5"/>
    <col width="11.125" customWidth="1" min="6" max="6"/>
    <col width="12.875" customWidth="1" min="7" max="7"/>
    <col width="19.5" bestFit="1" customWidth="1" min="8" max="8"/>
    <col width="13.625" bestFit="1" customWidth="1" min="9" max="9"/>
    <col width="11.125" bestFit="1" customWidth="1" min="10" max="10"/>
    <col width="11.125" customWidth="1" min="11" max="12"/>
    <col width="12.75" customWidth="1" min="13" max="13"/>
    <col width="16.375" customWidth="1" min="14" max="15"/>
    <col width="19.875" bestFit="1" customWidth="1" style="229" min="16" max="16"/>
    <col width="26.875" bestFit="1" customWidth="1" min="17" max="17"/>
    <col width="18.375" bestFit="1" customWidth="1" min="18" max="18"/>
  </cols>
  <sheetData>
    <row r="1">
      <c r="A1" s="169" t="inlineStr">
        <is>
          <t xml:space="preserve">Veículos Cadastrados </t>
        </is>
      </c>
      <c r="B1" s="170" t="n"/>
      <c r="C1" s="170" t="n"/>
      <c r="D1" s="170" t="n"/>
      <c r="E1" s="170" t="n"/>
      <c r="F1" s="170" t="n"/>
      <c r="G1" s="170" t="n"/>
      <c r="H1" s="170" t="n"/>
      <c r="I1" s="170" t="n"/>
      <c r="J1" s="170" t="n"/>
      <c r="K1" s="170" t="n"/>
      <c r="L1" s="170" t="n"/>
      <c r="M1" s="170" t="n"/>
      <c r="N1" s="170" t="n"/>
      <c r="O1" s="170" t="n"/>
      <c r="P1" s="228" t="n"/>
      <c r="Q1" s="171" t="n"/>
      <c r="R1" s="172" t="n"/>
    </row>
    <row r="2">
      <c r="A2" s="193" t="inlineStr">
        <is>
          <t>Tipo</t>
        </is>
      </c>
      <c r="B2" s="193" t="inlineStr">
        <is>
          <t xml:space="preserve">Modelos </t>
        </is>
      </c>
      <c r="C2" s="193" t="inlineStr">
        <is>
          <t>Tag</t>
        </is>
      </c>
      <c r="D2" s="193" t="inlineStr">
        <is>
          <t>Locadora</t>
        </is>
      </c>
      <c r="E2" s="193" t="inlineStr">
        <is>
          <t>Localidade</t>
        </is>
      </c>
      <c r="F2" s="193" t="inlineStr">
        <is>
          <t>Placa</t>
        </is>
      </c>
      <c r="G2" s="193" t="inlineStr">
        <is>
          <t>SSO</t>
        </is>
      </c>
      <c r="H2" s="193" t="inlineStr">
        <is>
          <t>Condutores</t>
        </is>
      </c>
      <c r="I2" s="193" t="inlineStr">
        <is>
          <t>SEMANA S1</t>
        </is>
      </c>
      <c r="J2" s="193" t="inlineStr">
        <is>
          <t>KM INICIAL</t>
        </is>
      </c>
      <c r="K2" s="216" t="inlineStr">
        <is>
          <t>S1</t>
        </is>
      </c>
      <c r="L2" s="216" t="inlineStr">
        <is>
          <t>S2</t>
        </is>
      </c>
      <c r="M2" s="216" t="inlineStr">
        <is>
          <t>S3</t>
        </is>
      </c>
      <c r="N2" s="216" t="inlineStr">
        <is>
          <t>S4</t>
        </is>
      </c>
      <c r="O2" s="216" t="inlineStr">
        <is>
          <t>S5</t>
        </is>
      </c>
      <c r="P2" s="236" t="inlineStr">
        <is>
          <t>ULTIMA LAVAGEM</t>
        </is>
      </c>
      <c r="Q2" s="261" t="inlineStr">
        <is>
          <t>STATUS DA LAVAGEM</t>
        </is>
      </c>
      <c r="R2" s="216" t="inlineStr">
        <is>
          <t>PROX. LAVAGEM</t>
        </is>
      </c>
    </row>
    <row r="3">
      <c r="A3" s="198" t="inlineStr">
        <is>
          <t>Leve</t>
        </is>
      </c>
      <c r="B3" s="198" t="inlineStr">
        <is>
          <t>Nivus</t>
        </is>
      </c>
      <c r="C3" s="287" t="inlineStr">
        <is>
          <t>TN 01</t>
        </is>
      </c>
      <c r="D3" s="198" t="inlineStr">
        <is>
          <t>Localiza</t>
        </is>
      </c>
      <c r="E3" s="198" t="inlineStr">
        <is>
          <t>VALE</t>
        </is>
      </c>
      <c r="F3" s="198" t="inlineStr">
        <is>
          <t>TYU8F42</t>
        </is>
      </c>
      <c r="G3" s="198" t="inlineStr">
        <is>
          <t>CARAJÁS</t>
        </is>
      </c>
      <c r="H3" s="199" t="inlineStr">
        <is>
          <t>Henrique</t>
        </is>
      </c>
      <c r="I3" s="244" t="n">
        <v>46206</v>
      </c>
      <c r="J3" s="207" t="inlineStr">
        <is>
          <t>NÃO INFORMADO</t>
        </is>
      </c>
      <c r="K3" s="237" t="n">
        <v>2843</v>
      </c>
      <c r="L3" s="237" t="n">
        <v>3554</v>
      </c>
      <c r="M3" s="207" t="n">
        <v>4129</v>
      </c>
      <c r="N3" s="207" t="n">
        <v>4645</v>
      </c>
      <c r="O3" s="207" t="n"/>
      <c r="P3" s="242" t="inlineStr">
        <is>
          <t>31.07.2026</t>
        </is>
      </c>
      <c r="Q3" s="260" t="inlineStr">
        <is>
          <t>EM DIA</t>
        </is>
      </c>
      <c r="R3" s="288" t="inlineStr">
        <is>
          <t>19.06.2026</t>
        </is>
      </c>
    </row>
    <row r="4" customFormat="1" s="19">
      <c r="A4" s="235" t="inlineStr">
        <is>
          <t>Caminhonete</t>
        </is>
      </c>
      <c r="B4" s="235" t="inlineStr">
        <is>
          <t>Hillux</t>
        </is>
      </c>
      <c r="C4" s="287" t="inlineStr">
        <is>
          <t>TN 03</t>
        </is>
      </c>
      <c r="D4" s="235" t="inlineStr">
        <is>
          <t>SINAL</t>
        </is>
      </c>
      <c r="E4" s="235" t="inlineStr">
        <is>
          <t>VALE</t>
        </is>
      </c>
      <c r="F4" s="267" t="inlineStr">
        <is>
          <t>TCD7H75</t>
        </is>
      </c>
      <c r="G4" s="238" t="inlineStr">
        <is>
          <t>CARAJÁS</t>
        </is>
      </c>
      <c r="H4" s="245" t="inlineStr">
        <is>
          <t>Waldecyr</t>
        </is>
      </c>
      <c r="I4" s="244" t="n">
        <v>46206</v>
      </c>
      <c r="J4" s="234" t="n">
        <v>49282</v>
      </c>
      <c r="K4" s="237" t="inlineStr">
        <is>
          <t>NÃO INFORMADO</t>
        </is>
      </c>
      <c r="L4" s="237" t="n">
        <v>50556</v>
      </c>
      <c r="M4" s="207" t="n">
        <v>51200</v>
      </c>
      <c r="N4" s="234" t="n">
        <v>51534</v>
      </c>
      <c r="O4" s="234" t="n"/>
      <c r="P4" s="242" t="inlineStr">
        <is>
          <t>10.07.2026</t>
        </is>
      </c>
      <c r="Q4" s="260" t="inlineStr">
        <is>
          <t>EM DIA</t>
        </is>
      </c>
      <c r="R4" s="241" t="inlineStr">
        <is>
          <t>17.06.2026</t>
        </is>
      </c>
    </row>
    <row r="5" customFormat="1" s="19">
      <c r="A5" s="235" t="inlineStr">
        <is>
          <t>Caminhonete</t>
        </is>
      </c>
      <c r="B5" s="235" t="inlineStr">
        <is>
          <t>HILLUX</t>
        </is>
      </c>
      <c r="C5" s="60" t="inlineStr">
        <is>
          <t>TN 04</t>
        </is>
      </c>
      <c r="D5" s="235" t="inlineStr">
        <is>
          <t>SINAL</t>
        </is>
      </c>
      <c r="E5" s="235" t="inlineStr">
        <is>
          <t>VALE</t>
        </is>
      </c>
      <c r="F5" s="267" t="inlineStr">
        <is>
          <t>TDM2E37</t>
        </is>
      </c>
      <c r="G5" s="235" t="inlineStr">
        <is>
          <t>CARAJÁS</t>
        </is>
      </c>
      <c r="H5" s="245" t="inlineStr">
        <is>
          <t>Wilian</t>
        </is>
      </c>
      <c r="I5" s="244" t="n">
        <v>46206</v>
      </c>
      <c r="J5" s="234" t="n">
        <v>41740</v>
      </c>
      <c r="K5" s="237" t="n">
        <v>42152</v>
      </c>
      <c r="L5" s="237" t="n">
        <v>42898</v>
      </c>
      <c r="M5" s="207" t="n">
        <v>43333</v>
      </c>
      <c r="N5" s="289" t="inlineStr">
        <is>
          <t>MANUTENÇÃO</t>
        </is>
      </c>
      <c r="O5" s="234" t="n"/>
      <c r="P5" s="269" t="inlineStr">
        <is>
          <t>31.07.2026</t>
        </is>
      </c>
      <c r="Q5" s="260" t="inlineStr">
        <is>
          <t>EM DIA</t>
        </is>
      </c>
      <c r="R5" s="269" t="inlineStr">
        <is>
          <t>19.06.2026</t>
        </is>
      </c>
    </row>
    <row r="6" customFormat="1" s="19">
      <c r="A6" s="238" t="inlineStr">
        <is>
          <t>Caminhonete</t>
        </is>
      </c>
      <c r="B6" s="238" t="inlineStr">
        <is>
          <t>CHEVROLET S10</t>
        </is>
      </c>
      <c r="C6" s="287" t="inlineStr">
        <is>
          <t>TN 29</t>
        </is>
      </c>
      <c r="D6" s="238" t="inlineStr">
        <is>
          <t>SONDA</t>
        </is>
      </c>
      <c r="E6" s="238" t="inlineStr">
        <is>
          <t>SONDA</t>
        </is>
      </c>
      <c r="F6" s="271" t="inlineStr">
        <is>
          <t>SHX8B70</t>
        </is>
      </c>
      <c r="G6" s="238" t="inlineStr">
        <is>
          <t>CARAJÁS</t>
        </is>
      </c>
      <c r="H6" s="266" t="inlineStr">
        <is>
          <t>João Paulo</t>
        </is>
      </c>
      <c r="I6" s="244" t="n">
        <v>46206</v>
      </c>
      <c r="J6" s="234" t="n">
        <v>64365</v>
      </c>
      <c r="K6" s="237" t="n">
        <v>39988</v>
      </c>
      <c r="L6" s="237" t="n">
        <v>66284</v>
      </c>
      <c r="M6" s="207" t="n">
        <v>67021</v>
      </c>
      <c r="N6" s="234" t="n">
        <v>67589</v>
      </c>
      <c r="O6" s="234" t="n"/>
      <c r="P6" s="269" t="inlineStr">
        <is>
          <t>23.05.2026</t>
        </is>
      </c>
      <c r="Q6" s="260" t="inlineStr">
        <is>
          <t>EM DIA</t>
        </is>
      </c>
      <c r="R6" s="269" t="n"/>
    </row>
    <row r="7" customFormat="1" s="19">
      <c r="A7" s="235" t="inlineStr">
        <is>
          <t>Caminhonete</t>
        </is>
      </c>
      <c r="B7" s="235" t="inlineStr">
        <is>
          <t>Hillux</t>
        </is>
      </c>
      <c r="C7" s="287" t="inlineStr">
        <is>
          <t>TN 31</t>
        </is>
      </c>
      <c r="D7" s="235" t="inlineStr">
        <is>
          <t>SINAL</t>
        </is>
      </c>
      <c r="E7" s="235" t="inlineStr">
        <is>
          <t>VALE</t>
        </is>
      </c>
      <c r="F7" s="267" t="inlineStr">
        <is>
          <t>TCD7I68</t>
        </is>
      </c>
      <c r="G7" s="238" t="inlineStr">
        <is>
          <t>CARAJÁS</t>
        </is>
      </c>
      <c r="H7" s="245" t="inlineStr">
        <is>
          <t>Josue</t>
        </is>
      </c>
      <c r="I7" s="244" t="n">
        <v>46206</v>
      </c>
      <c r="J7" s="234" t="n">
        <v>39478</v>
      </c>
      <c r="K7" s="237" t="n">
        <v>65358</v>
      </c>
      <c r="L7" s="237" t="n">
        <v>40468</v>
      </c>
      <c r="M7" s="207" t="n">
        <v>40855</v>
      </c>
      <c r="N7" s="289" t="inlineStr">
        <is>
          <t>MATUTENÇÃO</t>
        </is>
      </c>
      <c r="O7" s="234" t="n"/>
      <c r="P7" s="269" t="inlineStr">
        <is>
          <t>29.07.2026</t>
        </is>
      </c>
      <c r="Q7" s="260" t="inlineStr">
        <is>
          <t>EM DIA</t>
        </is>
      </c>
      <c r="R7" s="241" t="n"/>
    </row>
    <row r="8" customFormat="1" s="19">
      <c r="A8" s="235" t="inlineStr">
        <is>
          <t>Caminhonete</t>
        </is>
      </c>
      <c r="B8" s="235" t="inlineStr">
        <is>
          <t xml:space="preserve">FORD RANGER </t>
        </is>
      </c>
      <c r="C8" s="60" t="inlineStr">
        <is>
          <t>TN 72</t>
        </is>
      </c>
      <c r="D8" s="235" t="inlineStr">
        <is>
          <t>SONDA</t>
        </is>
      </c>
      <c r="E8" s="235" t="inlineStr">
        <is>
          <t>SONDA</t>
        </is>
      </c>
      <c r="F8" s="267" t="inlineStr">
        <is>
          <t>FXD9A18</t>
        </is>
      </c>
      <c r="G8" s="238" t="inlineStr">
        <is>
          <t>CARAJÁS</t>
        </is>
      </c>
      <c r="H8" s="245" t="inlineStr">
        <is>
          <t>Erisvaldo</t>
        </is>
      </c>
      <c r="I8" s="244" t="n">
        <v>46206</v>
      </c>
      <c r="J8" s="234" t="n">
        <v>133150</v>
      </c>
      <c r="K8" s="237" t="n">
        <v>134028</v>
      </c>
      <c r="L8" s="237" t="n">
        <v>134434</v>
      </c>
      <c r="M8" s="207" t="inlineStr">
        <is>
          <t>DESMOBILIZAÇÃO</t>
        </is>
      </c>
      <c r="N8" s="289" t="inlineStr">
        <is>
          <t>MOBILIZAÇÃO</t>
        </is>
      </c>
      <c r="O8" s="234" t="n"/>
      <c r="P8" s="241" t="inlineStr">
        <is>
          <t>25.06.2026</t>
        </is>
      </c>
      <c r="Q8" s="260" t="inlineStr">
        <is>
          <t>EM DIA</t>
        </is>
      </c>
      <c r="R8" s="241" t="inlineStr">
        <is>
          <t>30.01.2026</t>
        </is>
      </c>
    </row>
    <row r="9" customFormat="1" s="19">
      <c r="A9" s="238" t="inlineStr">
        <is>
          <t>Caminhonete</t>
        </is>
      </c>
      <c r="B9" s="238" t="inlineStr">
        <is>
          <t>Strada</t>
        </is>
      </c>
      <c r="C9" s="287" t="inlineStr">
        <is>
          <t>TN 73</t>
        </is>
      </c>
      <c r="D9" s="238" t="inlineStr">
        <is>
          <t>Localiza</t>
        </is>
      </c>
      <c r="E9" s="235" t="inlineStr">
        <is>
          <t>VALE</t>
        </is>
      </c>
      <c r="F9" s="271" t="inlineStr">
        <is>
          <t>TYG3A22</t>
        </is>
      </c>
      <c r="G9" s="238" t="inlineStr">
        <is>
          <t>CARAJÁS</t>
        </is>
      </c>
      <c r="H9" s="248" t="inlineStr">
        <is>
          <t>Renato</t>
        </is>
      </c>
      <c r="I9" s="244" t="n">
        <v>46206</v>
      </c>
      <c r="J9" s="234" t="n">
        <v>5485</v>
      </c>
      <c r="K9" s="237" t="n">
        <v>6107</v>
      </c>
      <c r="L9" s="237" t="n">
        <v>6291</v>
      </c>
      <c r="M9" s="207" t="n">
        <v>6664</v>
      </c>
      <c r="N9" s="234" t="n">
        <v>7076</v>
      </c>
      <c r="O9" s="234" t="n"/>
      <c r="P9" s="274" t="inlineStr">
        <is>
          <t>13.05.2026</t>
        </is>
      </c>
      <c r="Q9" s="260" t="inlineStr">
        <is>
          <t>EM DIA</t>
        </is>
      </c>
      <c r="R9" s="274" t="inlineStr">
        <is>
          <t>19.06.2026</t>
        </is>
      </c>
    </row>
    <row r="10" customFormat="1" s="19">
      <c r="A10" s="235" t="inlineStr">
        <is>
          <t>Caminhonete</t>
        </is>
      </c>
      <c r="B10" s="235" t="inlineStr">
        <is>
          <t>Hillux</t>
        </is>
      </c>
      <c r="C10" s="287" t="inlineStr">
        <is>
          <t>TN 74</t>
        </is>
      </c>
      <c r="D10" s="235" t="inlineStr">
        <is>
          <t>SINAL</t>
        </is>
      </c>
      <c r="E10" s="235" t="inlineStr">
        <is>
          <t>VALE</t>
        </is>
      </c>
      <c r="F10" s="267" t="inlineStr">
        <is>
          <t>RDM2E33</t>
        </is>
      </c>
      <c r="G10" s="235" t="inlineStr">
        <is>
          <t>CARAJÁS</t>
        </is>
      </c>
      <c r="H10" s="245" t="inlineStr">
        <is>
          <t>Ederson</t>
        </is>
      </c>
      <c r="I10" s="244" t="n">
        <v>46206</v>
      </c>
      <c r="J10" s="234" t="n">
        <v>45046</v>
      </c>
      <c r="K10" s="237" t="n">
        <v>45485</v>
      </c>
      <c r="L10" s="237" t="n">
        <v>46247</v>
      </c>
      <c r="M10" s="207" t="n">
        <v>46883</v>
      </c>
      <c r="N10" s="234" t="n">
        <v>47338</v>
      </c>
      <c r="O10" s="234" t="n"/>
      <c r="P10" s="269" t="inlineStr">
        <is>
          <t>31.07.2026</t>
        </is>
      </c>
      <c r="Q10" s="260" t="inlineStr">
        <is>
          <t>EM DIA</t>
        </is>
      </c>
      <c r="R10" s="269" t="inlineStr">
        <is>
          <t>19.06.2026</t>
        </is>
      </c>
    </row>
    <row r="11" customFormat="1" s="19">
      <c r="A11" s="275" t="inlineStr">
        <is>
          <t>Caminhonete</t>
        </is>
      </c>
      <c r="B11" s="235" t="inlineStr">
        <is>
          <t>Hillux</t>
        </is>
      </c>
      <c r="C11" s="286" t="inlineStr">
        <is>
          <t>TN 76</t>
        </is>
      </c>
      <c r="D11" s="275" t="inlineStr">
        <is>
          <t>SINAL</t>
        </is>
      </c>
      <c r="E11" s="235" t="inlineStr">
        <is>
          <t>VALE</t>
        </is>
      </c>
      <c r="F11" s="276" t="inlineStr">
        <is>
          <t>TCD7H72</t>
        </is>
      </c>
      <c r="G11" s="275" t="inlineStr">
        <is>
          <t>CARAJÁS</t>
        </is>
      </c>
      <c r="H11" s="246" t="inlineStr">
        <is>
          <t>Ramiro</t>
        </is>
      </c>
      <c r="I11" s="244" t="n">
        <v>46206</v>
      </c>
      <c r="J11" s="234" t="n">
        <v>41737</v>
      </c>
      <c r="K11" s="237" t="inlineStr">
        <is>
          <t>MANUTENÇÃO</t>
        </is>
      </c>
      <c r="L11" s="237" t="inlineStr">
        <is>
          <t>MANUTENÇÃO</t>
        </is>
      </c>
      <c r="M11" s="207" t="inlineStr">
        <is>
          <t>MANUTENÇÃO</t>
        </is>
      </c>
      <c r="N11" s="289" t="inlineStr">
        <is>
          <t>MANUTENÇÃO</t>
        </is>
      </c>
      <c r="O11" s="234" t="n"/>
      <c r="P11" s="269" t="inlineStr">
        <is>
          <t>25.06.2026</t>
        </is>
      </c>
      <c r="Q11" s="260" t="inlineStr">
        <is>
          <t>EM DIA</t>
        </is>
      </c>
      <c r="R11" s="241" t="inlineStr">
        <is>
          <t>18.06.2026</t>
        </is>
      </c>
    </row>
    <row r="12" customFormat="1" s="19">
      <c r="A12" s="247" t="inlineStr">
        <is>
          <t>Caminhonete</t>
        </is>
      </c>
      <c r="B12" s="278" t="inlineStr">
        <is>
          <t xml:space="preserve">FORD RANGER </t>
        </is>
      </c>
      <c r="C12" s="285" t="inlineStr">
        <is>
          <t>TN 78</t>
        </is>
      </c>
      <c r="D12" s="247" t="inlineStr">
        <is>
          <t>SONDA</t>
        </is>
      </c>
      <c r="E12" s="247" t="inlineStr">
        <is>
          <t>SONDA</t>
        </is>
      </c>
      <c r="F12" s="279" t="inlineStr">
        <is>
          <t xml:space="preserve">FZY4F28 </t>
        </is>
      </c>
      <c r="G12" s="247" t="inlineStr">
        <is>
          <t>CARAJÁS</t>
        </is>
      </c>
      <c r="H12" s="247" t="inlineStr">
        <is>
          <t xml:space="preserve">Gabriel Garcia  </t>
        </is>
      </c>
      <c r="I12" s="244" t="n">
        <v>46206</v>
      </c>
      <c r="J12" s="234" t="n">
        <v>141141</v>
      </c>
      <c r="K12" s="237" t="n">
        <v>142182</v>
      </c>
      <c r="L12" s="237" t="n">
        <v>143177</v>
      </c>
      <c r="M12" s="207" t="n">
        <v>144056</v>
      </c>
      <c r="N12" s="234" t="n">
        <v>144970</v>
      </c>
      <c r="O12" s="234" t="n"/>
      <c r="P12" s="241" t="inlineStr">
        <is>
          <t>25.07.2026</t>
        </is>
      </c>
      <c r="Q12" s="260" t="inlineStr">
        <is>
          <t>EM DIA</t>
        </is>
      </c>
      <c r="R12" s="241" t="inlineStr">
        <is>
          <t>09.04.2026</t>
        </is>
      </c>
    </row>
    <row r="13"/>
    <row r="14">
      <c r="A14" s="169" t="inlineStr">
        <is>
          <t xml:space="preserve">Veículos Cadastrados </t>
        </is>
      </c>
      <c r="B14" s="170" t="n"/>
      <c r="C14" s="170" t="n"/>
      <c r="D14" s="170" t="n"/>
      <c r="E14" s="170" t="n"/>
      <c r="F14" s="255" t="n"/>
      <c r="G14" s="170" t="n"/>
      <c r="H14" s="170" t="n"/>
      <c r="I14" s="170" t="n"/>
      <c r="J14" s="170" t="n"/>
      <c r="K14" s="170" t="n"/>
      <c r="L14" s="170" t="n"/>
      <c r="M14" s="170" t="n"/>
      <c r="N14" s="170" t="n"/>
      <c r="O14" s="170" t="n"/>
      <c r="P14" s="228" t="n"/>
      <c r="Q14" s="171" t="n"/>
      <c r="R14" s="172" t="n"/>
    </row>
    <row r="15" hidden="1">
      <c r="A15" s="193" t="inlineStr">
        <is>
          <t>Tipo</t>
        </is>
      </c>
      <c r="B15" s="193" t="inlineStr">
        <is>
          <t xml:space="preserve">Modelos </t>
        </is>
      </c>
      <c r="C15" s="193" t="inlineStr">
        <is>
          <t>Tag</t>
        </is>
      </c>
      <c r="D15" s="193" t="inlineStr">
        <is>
          <t>Locadora</t>
        </is>
      </c>
      <c r="E15" s="193" t="inlineStr">
        <is>
          <t>Localidade</t>
        </is>
      </c>
      <c r="F15" s="193" t="inlineStr">
        <is>
          <t>Placa</t>
        </is>
      </c>
      <c r="G15" s="193" t="inlineStr">
        <is>
          <t>SSO</t>
        </is>
      </c>
      <c r="H15" s="193" t="inlineStr">
        <is>
          <t>Condutores</t>
        </is>
      </c>
      <c r="I15" s="193" t="inlineStr">
        <is>
          <t>SEMANA 02</t>
        </is>
      </c>
      <c r="J15" s="193" t="inlineStr">
        <is>
          <t>KM TOTAL</t>
        </is>
      </c>
      <c r="K15" s="216" t="inlineStr">
        <is>
          <t>S1</t>
        </is>
      </c>
      <c r="L15" s="216" t="inlineStr">
        <is>
          <t>S2</t>
        </is>
      </c>
      <c r="M15" s="216" t="inlineStr">
        <is>
          <t>S3</t>
        </is>
      </c>
      <c r="N15" s="216" t="inlineStr">
        <is>
          <t>S4</t>
        </is>
      </c>
      <c r="O15" s="216" t="n"/>
      <c r="P15" s="230" t="inlineStr">
        <is>
          <t>ULTIMA LAVAGEM</t>
        </is>
      </c>
      <c r="Q15" s="231" t="inlineStr">
        <is>
          <t xml:space="preserve">LAVAGEM PROGRAMADA </t>
        </is>
      </c>
      <c r="R15" s="232" t="inlineStr">
        <is>
          <t>PROX. LAVAGEM</t>
        </is>
      </c>
    </row>
    <row r="16" hidden="1">
      <c r="A16" s="198" t="inlineStr">
        <is>
          <t>Leve</t>
        </is>
      </c>
      <c r="B16" s="198" t="inlineStr">
        <is>
          <t>Tracker</t>
        </is>
      </c>
      <c r="C16" s="198" t="inlineStr">
        <is>
          <t>TN 01</t>
        </is>
      </c>
      <c r="D16" s="198" t="inlineStr">
        <is>
          <t>Localiza</t>
        </is>
      </c>
      <c r="E16" s="198" t="inlineStr">
        <is>
          <t>CKS</t>
        </is>
      </c>
      <c r="F16" s="198" t="inlineStr">
        <is>
          <t>TCO2C15</t>
        </is>
      </c>
      <c r="G16" s="198" t="inlineStr">
        <is>
          <t>CARAJÁS</t>
        </is>
      </c>
      <c r="H16" s="200" t="inlineStr">
        <is>
          <t>Fabricio Maia</t>
        </is>
      </c>
      <c r="I16" s="161" t="n">
        <v>45912</v>
      </c>
      <c r="J16" s="201">
        <f>SUM(K16:N16)</f>
        <v/>
      </c>
      <c r="K16" s="207">
        <f>K3-$J3</f>
        <v/>
      </c>
      <c r="L16" s="207">
        <f>L3-$J3</f>
        <v/>
      </c>
      <c r="M16" s="207">
        <f>M3-$J3</f>
        <v/>
      </c>
      <c r="N16" s="207">
        <f>N3-$J3</f>
        <v/>
      </c>
      <c r="O16" s="207" t="n"/>
      <c r="P16" s="141" t="n">
        <v>45891</v>
      </c>
      <c r="Q16" s="218" t="n"/>
      <c r="R16" s="98" t="n"/>
    </row>
    <row r="17" hidden="1">
      <c r="A17" s="198" t="inlineStr">
        <is>
          <t>Caminhonete</t>
        </is>
      </c>
      <c r="B17" s="198" t="inlineStr">
        <is>
          <t>Hillux</t>
        </is>
      </c>
      <c r="C17" s="198" t="inlineStr">
        <is>
          <t>TN 03</t>
        </is>
      </c>
      <c r="D17" s="198" t="inlineStr">
        <is>
          <t>SINAL</t>
        </is>
      </c>
      <c r="E17" s="198" t="inlineStr">
        <is>
          <t>CKS</t>
        </is>
      </c>
      <c r="F17" s="198" t="inlineStr">
        <is>
          <t>TCD7H75</t>
        </is>
      </c>
      <c r="G17" s="197" t="inlineStr">
        <is>
          <t>CARAJÁS</t>
        </is>
      </c>
      <c r="H17" s="199" t="inlineStr">
        <is>
          <t>Lucas</t>
        </is>
      </c>
      <c r="I17" s="161" t="n">
        <v>45912</v>
      </c>
      <c r="J17" s="201">
        <f>SUM(K17:N17)</f>
        <v/>
      </c>
      <c r="K17" s="207">
        <f>K4-$J4</f>
        <v/>
      </c>
      <c r="L17" s="207">
        <f>L4-$J4</f>
        <v/>
      </c>
      <c r="M17" s="207">
        <f>M4-$J4</f>
        <v/>
      </c>
      <c r="N17" s="207">
        <f>N4-$J4</f>
        <v/>
      </c>
      <c r="O17" s="207" t="n"/>
      <c r="P17" s="141" t="n">
        <v>45896</v>
      </c>
      <c r="Q17" s="218" t="inlineStr">
        <is>
          <t>pendente</t>
        </is>
      </c>
      <c r="R17" s="99" t="n">
        <v>45921</v>
      </c>
    </row>
    <row r="18" hidden="1">
      <c r="A18" s="198" t="inlineStr">
        <is>
          <t>Caminhonete</t>
        </is>
      </c>
      <c r="B18" s="198" t="inlineStr">
        <is>
          <t>HILLUX</t>
        </is>
      </c>
      <c r="C18" s="198" t="inlineStr">
        <is>
          <t>TN 04</t>
        </is>
      </c>
      <c r="D18" s="198" t="inlineStr">
        <is>
          <t>SINAL</t>
        </is>
      </c>
      <c r="E18" s="198" t="inlineStr">
        <is>
          <t>CKS</t>
        </is>
      </c>
      <c r="F18" s="198" t="inlineStr">
        <is>
          <t>TDM2E37</t>
        </is>
      </c>
      <c r="G18" s="198" t="inlineStr">
        <is>
          <t>CARAJÁS</t>
        </is>
      </c>
      <c r="H18" s="200" t="inlineStr">
        <is>
          <t>MATHEUS</t>
        </is>
      </c>
      <c r="I18" s="161" t="n">
        <v>45912</v>
      </c>
      <c r="J18" s="201">
        <f>SUM(K18:N18)</f>
        <v/>
      </c>
      <c r="K18" s="207">
        <f>K5-$J5</f>
        <v/>
      </c>
      <c r="L18" s="207">
        <f>L5-$J5</f>
        <v/>
      </c>
      <c r="M18" s="207">
        <f>M5-$J5</f>
        <v/>
      </c>
      <c r="N18" s="207">
        <f>N5-$J5</f>
        <v/>
      </c>
      <c r="O18" s="207" t="n"/>
      <c r="P18" s="141" t="n">
        <v>45908</v>
      </c>
      <c r="Q18" s="182" t="inlineStr">
        <is>
          <t>ok</t>
        </is>
      </c>
      <c r="R18" s="99" t="n">
        <v>45919</v>
      </c>
    </row>
    <row r="19" hidden="1">
      <c r="A19" s="197" t="inlineStr">
        <is>
          <t>Caminhonete</t>
        </is>
      </c>
      <c r="B19" s="197" t="inlineStr">
        <is>
          <t>CHEVROLET S10</t>
        </is>
      </c>
      <c r="C19" s="198" t="inlineStr">
        <is>
          <t>TN 29</t>
        </is>
      </c>
      <c r="D19" s="197" t="inlineStr">
        <is>
          <t>Sonda</t>
        </is>
      </c>
      <c r="E19" s="197" t="inlineStr">
        <is>
          <t>CKS</t>
        </is>
      </c>
      <c r="F19" s="197" t="inlineStr">
        <is>
          <t>FXR0F35</t>
        </is>
      </c>
      <c r="G19" s="197" t="inlineStr">
        <is>
          <t>CARAJÁS</t>
        </is>
      </c>
      <c r="H19" s="199" t="inlineStr">
        <is>
          <t>JOÃO TAVARES</t>
        </is>
      </c>
      <c r="I19" s="161" t="n">
        <v>45912</v>
      </c>
      <c r="J19" s="201">
        <f>SUM(K19:N19)</f>
        <v/>
      </c>
      <c r="K19" s="207">
        <f>K6-$J6</f>
        <v/>
      </c>
      <c r="L19" s="207">
        <f>L6-$J6</f>
        <v/>
      </c>
      <c r="M19" s="207">
        <f>M6-$J6</f>
        <v/>
      </c>
      <c r="N19" s="207">
        <f>N6-$J6</f>
        <v/>
      </c>
      <c r="O19" s="207" t="n"/>
      <c r="P19" s="141" t="n">
        <v>45916</v>
      </c>
      <c r="Q19" s="182" t="inlineStr">
        <is>
          <t>ok</t>
        </is>
      </c>
      <c r="R19" s="99" t="n">
        <v>45924</v>
      </c>
    </row>
    <row r="20" hidden="1">
      <c r="A20" s="198" t="inlineStr">
        <is>
          <t>Caminhonete</t>
        </is>
      </c>
      <c r="B20" s="198" t="inlineStr">
        <is>
          <t>Hillux</t>
        </is>
      </c>
      <c r="C20" s="198" t="inlineStr">
        <is>
          <t>TN 31</t>
        </is>
      </c>
      <c r="D20" s="198" t="inlineStr">
        <is>
          <t>SINAL</t>
        </is>
      </c>
      <c r="E20" s="198" t="inlineStr">
        <is>
          <t>CKS</t>
        </is>
      </c>
      <c r="F20" s="198" t="inlineStr">
        <is>
          <t>TCD7I68</t>
        </is>
      </c>
      <c r="G20" s="197" t="inlineStr">
        <is>
          <t>CARAJÁS</t>
        </is>
      </c>
      <c r="H20" s="199" t="inlineStr">
        <is>
          <t>Lucas</t>
        </is>
      </c>
      <c r="I20" s="161" t="n">
        <v>45912</v>
      </c>
      <c r="J20" s="201">
        <f>SUM(K20:N20)</f>
        <v/>
      </c>
      <c r="K20" s="207">
        <f>K7-$J7</f>
        <v/>
      </c>
      <c r="L20" s="207">
        <f>L7-$J7</f>
        <v/>
      </c>
      <c r="M20" s="207">
        <f>M7-$J7</f>
        <v/>
      </c>
      <c r="N20" s="207">
        <f>N7-$J7</f>
        <v/>
      </c>
      <c r="O20" s="207" t="n"/>
      <c r="P20" s="141" t="n">
        <v>45901</v>
      </c>
      <c r="Q20" s="182" t="inlineStr">
        <is>
          <t>pendente</t>
        </is>
      </c>
      <c r="R20" s="99" t="n">
        <v>45920</v>
      </c>
    </row>
    <row r="21" hidden="1">
      <c r="A21" s="198" t="inlineStr">
        <is>
          <t>Caminhonete</t>
        </is>
      </c>
      <c r="B21" s="198" t="inlineStr">
        <is>
          <t xml:space="preserve">FORD RANGER </t>
        </is>
      </c>
      <c r="C21" s="198" t="inlineStr">
        <is>
          <t>TN 72</t>
        </is>
      </c>
      <c r="D21" s="198" t="inlineStr">
        <is>
          <t>Sonda</t>
        </is>
      </c>
      <c r="E21" s="198" t="inlineStr">
        <is>
          <t>CKS</t>
        </is>
      </c>
      <c r="F21" s="198" t="inlineStr">
        <is>
          <t>FXD9A18</t>
        </is>
      </c>
      <c r="G21" s="197" t="inlineStr">
        <is>
          <t>CARAJÁS</t>
        </is>
      </c>
      <c r="H21" s="199" t="inlineStr">
        <is>
          <t>RAIMUNDO CHARLES</t>
        </is>
      </c>
      <c r="I21" s="161" t="n">
        <v>45912</v>
      </c>
      <c r="J21" s="201">
        <f>SUM(K21:N21)</f>
        <v/>
      </c>
      <c r="K21" s="207">
        <f>K8-$J8</f>
        <v/>
      </c>
      <c r="L21" s="207">
        <f>L8-$J8</f>
        <v/>
      </c>
      <c r="M21" s="207">
        <f>M8-$J8</f>
        <v/>
      </c>
      <c r="N21" s="207">
        <f>N8-$J8</f>
        <v/>
      </c>
      <c r="O21" s="207" t="n"/>
      <c r="P21" s="141" t="n">
        <v>45904</v>
      </c>
      <c r="Q21" s="218" t="inlineStr">
        <is>
          <t>pendente</t>
        </is>
      </c>
      <c r="R21" s="99" t="n">
        <v>45926</v>
      </c>
    </row>
    <row r="22" hidden="1">
      <c r="A22" s="197" t="inlineStr">
        <is>
          <t>Caminhonete</t>
        </is>
      </c>
      <c r="B22" s="197" t="inlineStr">
        <is>
          <t>Hillux</t>
        </is>
      </c>
      <c r="C22" s="198" t="inlineStr">
        <is>
          <t>TN 73</t>
        </is>
      </c>
      <c r="D22" s="197" t="inlineStr">
        <is>
          <t>SINAL</t>
        </is>
      </c>
      <c r="E22" s="197" t="inlineStr">
        <is>
          <t>CKS</t>
        </is>
      </c>
      <c r="F22" s="197" t="inlineStr">
        <is>
          <t>TCD7H73</t>
        </is>
      </c>
      <c r="G22" s="197" t="inlineStr">
        <is>
          <t>CARAJÁS</t>
        </is>
      </c>
      <c r="H22" s="199" t="inlineStr">
        <is>
          <t>William</t>
        </is>
      </c>
      <c r="I22" s="161" t="n">
        <v>45912</v>
      </c>
      <c r="J22" s="201">
        <f>SUM(K22:N22)</f>
        <v/>
      </c>
      <c r="K22" s="207">
        <f>K9-$J9</f>
        <v/>
      </c>
      <c r="L22" s="207">
        <f>L9-$J9</f>
        <v/>
      </c>
      <c r="M22" s="207">
        <f>M9-$J9</f>
        <v/>
      </c>
      <c r="N22" s="207">
        <f>N9-$J9</f>
        <v/>
      </c>
      <c r="O22" s="251" t="n"/>
      <c r="P22" s="59" t="n">
        <v>45905</v>
      </c>
      <c r="Q22" s="184" t="inlineStr">
        <is>
          <t>pendente</t>
        </is>
      </c>
      <c r="R22" s="99" t="n">
        <v>45924</v>
      </c>
    </row>
    <row r="23" hidden="1">
      <c r="A23" s="198" t="inlineStr">
        <is>
          <t>Caminhonete</t>
        </is>
      </c>
      <c r="B23" s="198" t="inlineStr">
        <is>
          <t>Ranger</t>
        </is>
      </c>
      <c r="C23" s="198" t="inlineStr">
        <is>
          <t>TN 74</t>
        </is>
      </c>
      <c r="D23" s="198" t="inlineStr">
        <is>
          <t>SONDA</t>
        </is>
      </c>
      <c r="E23" s="198" t="inlineStr">
        <is>
          <t>CKS</t>
        </is>
      </c>
      <c r="F23" s="198" t="inlineStr">
        <is>
          <t>RDM2E33</t>
        </is>
      </c>
      <c r="G23" s="198" t="inlineStr">
        <is>
          <t>CARAJÁS</t>
        </is>
      </c>
      <c r="H23" s="200" t="inlineStr">
        <is>
          <t>Ederson</t>
        </is>
      </c>
      <c r="I23" s="161" t="n">
        <v>45912</v>
      </c>
      <c r="J23" s="201">
        <f>SUM(K23:N23)</f>
        <v/>
      </c>
      <c r="K23" s="207">
        <f>K10-$J10</f>
        <v/>
      </c>
      <c r="L23" s="207">
        <f>L10-$J10</f>
        <v/>
      </c>
      <c r="M23" s="207">
        <f>M10-$J10</f>
        <v/>
      </c>
      <c r="N23" s="207">
        <f>N10-$J10</f>
        <v/>
      </c>
      <c r="O23" s="207" t="n"/>
      <c r="P23" s="141" t="n">
        <v>45918</v>
      </c>
      <c r="Q23" s="184" t="inlineStr">
        <is>
          <t>ok</t>
        </is>
      </c>
      <c r="R23" s="99" t="n">
        <v>45923</v>
      </c>
    </row>
    <row r="24" hidden="1">
      <c r="A24" s="209" t="inlineStr">
        <is>
          <t>Caminhonete</t>
        </is>
      </c>
      <c r="B24" s="209" t="inlineStr">
        <is>
          <t>NISSAN FRONTIER</t>
        </is>
      </c>
      <c r="C24" s="209" t="inlineStr">
        <is>
          <t>TN 76</t>
        </is>
      </c>
      <c r="D24" s="209" t="inlineStr">
        <is>
          <t>SINAL</t>
        </is>
      </c>
      <c r="E24" s="209" t="inlineStr">
        <is>
          <t>CKS</t>
        </is>
      </c>
      <c r="F24" s="209" t="inlineStr">
        <is>
          <t>TCD7H72</t>
        </is>
      </c>
      <c r="G24" s="209" t="inlineStr">
        <is>
          <t>CARAJÁS</t>
        </is>
      </c>
      <c r="H24" s="217" t="inlineStr">
        <is>
          <t>Renan</t>
        </is>
      </c>
      <c r="I24" s="161" t="n">
        <v>45912</v>
      </c>
      <c r="J24" s="201">
        <f>SUM(K24:N24)</f>
        <v/>
      </c>
      <c r="K24" s="207">
        <f>K11-$J11</f>
        <v/>
      </c>
      <c r="L24" s="207">
        <f>L11-$J11</f>
        <v/>
      </c>
      <c r="M24" s="207">
        <f>M11-$J11</f>
        <v/>
      </c>
      <c r="N24" s="207">
        <f>N11-$J11</f>
        <v/>
      </c>
      <c r="O24" s="207" t="n"/>
      <c r="P24" s="141" t="n">
        <v>45901</v>
      </c>
      <c r="Q24" s="184" t="inlineStr">
        <is>
          <t>pendente</t>
        </is>
      </c>
      <c r="R24" s="99" t="n">
        <v>45922</v>
      </c>
    </row>
    <row r="25" hidden="1">
      <c r="A25" s="202" t="inlineStr">
        <is>
          <t>Caminhonete</t>
        </is>
      </c>
      <c r="B25" s="204" t="inlineStr">
        <is>
          <t>NISSAN FRONTIER</t>
        </is>
      </c>
      <c r="C25" s="204" t="inlineStr">
        <is>
          <t>TN78</t>
        </is>
      </c>
      <c r="D25" s="202" t="inlineStr">
        <is>
          <t>SONDA</t>
        </is>
      </c>
      <c r="E25" s="202" t="inlineStr">
        <is>
          <t>CKS</t>
        </is>
      </c>
      <c r="F25" s="202" t="inlineStr">
        <is>
          <t xml:space="preserve">FZY4F28 </t>
        </is>
      </c>
      <c r="G25" s="202" t="inlineStr">
        <is>
          <t>CARAJÁS</t>
        </is>
      </c>
      <c r="H25" s="202" t="inlineStr">
        <is>
          <t>Ederson</t>
        </is>
      </c>
      <c r="I25" s="161" t="n">
        <v>45912</v>
      </c>
      <c r="J25" s="201">
        <f>SUM(K25:N25)</f>
        <v/>
      </c>
      <c r="K25" s="207">
        <f>K12-$J12</f>
        <v/>
      </c>
      <c r="L25" s="207">
        <f>L12-$J12</f>
        <v/>
      </c>
      <c r="M25" s="207">
        <f>M12-$J12</f>
        <v/>
      </c>
      <c r="N25" s="207">
        <f>N12-$J12</f>
        <v/>
      </c>
      <c r="O25" s="207" t="n"/>
      <c r="P25" s="141" t="n">
        <v>45905</v>
      </c>
      <c r="Q25" s="184" t="inlineStr">
        <is>
          <t>pendente</t>
        </is>
      </c>
      <c r="R25" s="99" t="n">
        <v>45922</v>
      </c>
    </row>
    <row r="26" ht="14.95" customHeight="1" thickBot="1"/>
    <row r="27" ht="28.55" customHeight="1">
      <c r="A27" s="319" t="inlineStr">
        <is>
          <t>ACOMPANHAMENTO KM SEMANA</t>
        </is>
      </c>
      <c r="B27" s="328" t="n"/>
      <c r="C27" s="328" t="n"/>
      <c r="D27" s="328" t="n"/>
      <c r="E27" s="328" t="n"/>
      <c r="F27" s="226" t="n"/>
      <c r="G27" s="250" t="inlineStr">
        <is>
          <t>ULTIMA LAVAGEM</t>
        </is>
      </c>
      <c r="H27" s="259" t="inlineStr">
        <is>
          <t>Proxima Lavagem</t>
        </is>
      </c>
    </row>
    <row r="28" ht="14.95" customHeight="1" thickBot="1">
      <c r="A28" s="227" t="inlineStr">
        <is>
          <t>TAG</t>
        </is>
      </c>
      <c r="B28" s="222" t="inlineStr">
        <is>
          <t>S1</t>
        </is>
      </c>
      <c r="C28" s="222" t="inlineStr">
        <is>
          <t>S2</t>
        </is>
      </c>
      <c r="D28" s="222" t="inlineStr">
        <is>
          <t>S3</t>
        </is>
      </c>
      <c r="E28" s="223" t="inlineStr">
        <is>
          <t>S4</t>
        </is>
      </c>
      <c r="F28" s="223" t="inlineStr">
        <is>
          <t>S5</t>
        </is>
      </c>
      <c r="G28" s="224" t="inlineStr">
        <is>
          <t>ACUM.</t>
        </is>
      </c>
      <c r="H28" s="225" t="n"/>
      <c r="Q28" s="229" t="n"/>
    </row>
    <row r="29" ht="14.95" customHeight="1" thickBot="1">
      <c r="A29" s="252" t="inlineStr">
        <is>
          <t>TN 01</t>
        </is>
      </c>
      <c r="B29" s="253" t="n"/>
      <c r="C29" s="254" t="n">
        <v>711</v>
      </c>
      <c r="D29" s="254" t="n">
        <v>575</v>
      </c>
      <c r="E29" s="254" t="n">
        <v>516</v>
      </c>
      <c r="F29" s="254" t="n"/>
      <c r="G29" s="257" t="n">
        <v>1802</v>
      </c>
      <c r="H29" s="239">
        <f>R3</f>
        <v/>
      </c>
      <c r="Q29" s="229" t="n"/>
    </row>
    <row r="30" ht="14.95" customHeight="1" thickBot="1">
      <c r="A30" s="219" t="inlineStr">
        <is>
          <t>TN 03</t>
        </is>
      </c>
      <c r="B30" s="253" t="n"/>
      <c r="C30" s="254" t="n">
        <v>1274</v>
      </c>
      <c r="D30" s="254" t="n">
        <v>644</v>
      </c>
      <c r="E30" s="254" t="n">
        <v>334</v>
      </c>
      <c r="F30" s="254" t="n"/>
      <c r="G30" s="257" t="n">
        <v>2252</v>
      </c>
      <c r="H30" s="239">
        <f>R4</f>
        <v/>
      </c>
      <c r="Q30" s="229" t="n"/>
    </row>
    <row r="31" ht="14.95" customHeight="1" thickBot="1">
      <c r="A31" s="219" t="inlineStr">
        <is>
          <t>TN 04</t>
        </is>
      </c>
      <c r="B31" s="253" t="n">
        <v>412</v>
      </c>
      <c r="C31" s="254" t="n">
        <v>746</v>
      </c>
      <c r="D31" s="254" t="n">
        <v>435</v>
      </c>
      <c r="E31" s="254" t="n"/>
      <c r="F31" s="254" t="n"/>
      <c r="G31" s="257" t="n">
        <v>1593</v>
      </c>
      <c r="H31" s="239">
        <f>R5</f>
        <v/>
      </c>
      <c r="Q31" s="229" t="n"/>
    </row>
    <row r="32" ht="14.95" customHeight="1" thickBot="1">
      <c r="A32" s="219" t="inlineStr">
        <is>
          <t>TN 29</t>
        </is>
      </c>
      <c r="B32" s="253" t="n"/>
      <c r="C32" s="254" t="n">
        <v>26296</v>
      </c>
      <c r="D32" s="254" t="n">
        <v>737</v>
      </c>
      <c r="E32" s="254" t="n">
        <v>568</v>
      </c>
      <c r="F32" s="254" t="n"/>
      <c r="G32" s="257" t="n">
        <v>3224</v>
      </c>
      <c r="H32" s="239">
        <f>R6</f>
        <v/>
      </c>
      <c r="Q32" s="229" t="n"/>
    </row>
    <row r="33" ht="14.95" customHeight="1" thickBot="1">
      <c r="A33" s="219" t="inlineStr">
        <is>
          <t>TN 31</t>
        </is>
      </c>
      <c r="B33" s="253" t="n">
        <v>25880</v>
      </c>
      <c r="C33" s="254" t="n"/>
      <c r="D33" s="254" t="n">
        <v>387</v>
      </c>
      <c r="E33" s="254" t="n"/>
      <c r="F33" s="254" t="n"/>
      <c r="G33" s="257" t="n">
        <v>1377</v>
      </c>
      <c r="H33" s="239">
        <f>R7</f>
        <v/>
      </c>
      <c r="Q33" s="229" t="n"/>
    </row>
    <row r="34" ht="14.95" customHeight="1" thickBot="1">
      <c r="A34" s="219" t="inlineStr">
        <is>
          <t>TN 72</t>
        </is>
      </c>
      <c r="B34" s="253" t="n">
        <v>878</v>
      </c>
      <c r="C34" s="254" t="n">
        <v>406</v>
      </c>
      <c r="D34" s="254" t="n"/>
      <c r="E34" s="254" t="n"/>
      <c r="F34" s="254" t="n"/>
      <c r="G34" s="257" t="n">
        <v>1284</v>
      </c>
      <c r="H34" s="239">
        <f>R8</f>
        <v/>
      </c>
      <c r="Q34" s="229" t="n"/>
    </row>
    <row r="35" ht="14.95" customHeight="1" thickBot="1">
      <c r="A35" s="219" t="inlineStr">
        <is>
          <t>TN 73</t>
        </is>
      </c>
      <c r="B35" s="253" t="n">
        <v>622</v>
      </c>
      <c r="C35" s="254" t="n">
        <v>184</v>
      </c>
      <c r="D35" s="254" t="n">
        <v>373</v>
      </c>
      <c r="E35" s="254" t="n">
        <v>412</v>
      </c>
      <c r="F35" s="254" t="n"/>
      <c r="G35" s="257" t="n">
        <v>1591</v>
      </c>
      <c r="H35" s="239">
        <f>R9</f>
        <v/>
      </c>
      <c r="Q35" s="229" t="n"/>
    </row>
    <row r="36" ht="14.95" customHeight="1" thickBot="1">
      <c r="A36" s="219" t="inlineStr">
        <is>
          <t>TN 74</t>
        </is>
      </c>
      <c r="B36" s="253" t="n">
        <v>439</v>
      </c>
      <c r="C36" s="254" t="n">
        <v>762</v>
      </c>
      <c r="D36" s="254" t="n">
        <v>636</v>
      </c>
      <c r="E36" s="254" t="n">
        <v>455</v>
      </c>
      <c r="F36" s="254" t="n"/>
      <c r="G36" s="257" t="n">
        <v>2292</v>
      </c>
      <c r="H36" s="239">
        <f>R10</f>
        <v/>
      </c>
      <c r="Q36" s="229" t="n"/>
    </row>
    <row r="37" ht="14.95" customHeight="1" thickBot="1">
      <c r="A37" s="220" t="inlineStr">
        <is>
          <t>TN 76</t>
        </is>
      </c>
      <c r="B37" s="253" t="n"/>
      <c r="C37" s="254" t="n"/>
      <c r="D37" s="254" t="n"/>
      <c r="E37" s="254" t="n"/>
      <c r="F37" s="254" t="n"/>
      <c r="G37" s="257" t="n"/>
      <c r="H37" s="239">
        <f>R11</f>
        <v/>
      </c>
      <c r="Q37" s="229" t="n"/>
    </row>
    <row r="38" ht="14.95" customHeight="1" thickBot="1">
      <c r="A38" s="221" t="inlineStr">
        <is>
          <t>TN78</t>
        </is>
      </c>
      <c r="B38" s="253" t="n">
        <v>1041</v>
      </c>
      <c r="C38" s="254" t="n">
        <v>995</v>
      </c>
      <c r="D38" s="254" t="n">
        <v>879</v>
      </c>
      <c r="E38" s="254" t="n">
        <v>914</v>
      </c>
      <c r="F38" s="254" t="n"/>
      <c r="G38" s="257" t="n">
        <v>3829</v>
      </c>
      <c r="H38" s="239">
        <f>R12</f>
        <v/>
      </c>
      <c r="Q38" s="229" t="n"/>
    </row>
  </sheetData>
  <autoFilter ref="A2:R2">
    <sortState ref="A3:R12">
      <sortCondition ref="C2"/>
    </sortState>
  </autoFilter>
  <mergeCells count="1">
    <mergeCell ref="A27:E27"/>
  </mergeCells>
  <conditionalFormatting sqref="B29:B38 C30:E30 E31:E38 F30:G38">
    <cfRule type="cellIs" priority="16" operator="between" dxfId="8">
      <formula>1</formula>
      <formula>299</formula>
    </cfRule>
    <cfRule type="cellIs" priority="14" operator="greaterThan" dxfId="1">
      <formula>500</formula>
    </cfRule>
    <cfRule type="cellIs" priority="15" operator="between" dxfId="2">
      <formula>300</formula>
      <formula>500</formula>
    </cfRule>
  </conditionalFormatting>
  <conditionalFormatting sqref="B29:G38">
    <cfRule type="cellIs" priority="17" operator="equal">
      <formula>0</formula>
    </cfRule>
  </conditionalFormatting>
  <conditionalFormatting sqref="C29:G38">
    <cfRule type="cellIs" priority="11" operator="between" dxfId="8">
      <formula>1</formula>
      <formula>600</formula>
    </cfRule>
    <cfRule type="cellIs" priority="12" operator="between" dxfId="2">
      <formula>600</formula>
      <formula>1000</formula>
    </cfRule>
    <cfRule type="cellIs" priority="13" operator="greaterThan" dxfId="1">
      <formula>1000</formula>
    </cfRule>
  </conditionalFormatting>
  <conditionalFormatting sqref="D29:G38">
    <cfRule type="cellIs" priority="8" operator="greaterThan" dxfId="1">
      <formula>1501</formula>
    </cfRule>
    <cfRule type="cellIs" priority="9" operator="between" dxfId="8">
      <formula>1</formula>
      <formula>900</formula>
    </cfRule>
    <cfRule type="cellIs" priority="10" operator="between" dxfId="2">
      <formula>900</formula>
      <formula>1500</formula>
    </cfRule>
  </conditionalFormatting>
  <conditionalFormatting sqref="E30:F38">
    <cfRule type="cellIs" priority="7" operator="greaterThan" dxfId="1">
      <formula>2000</formula>
    </cfRule>
  </conditionalFormatting>
  <conditionalFormatting sqref="E30:F38 G29:G38">
    <cfRule type="cellIs" priority="5" operator="between" dxfId="2">
      <formula>1201</formula>
      <formula>2000</formula>
    </cfRule>
    <cfRule type="cellIs" priority="6" operator="between" dxfId="1">
      <formula>1</formula>
      <formula>1200</formula>
    </cfRule>
  </conditionalFormatting>
  <conditionalFormatting sqref="G29:G38">
    <cfRule type="cellIs" priority="1" operator="between" dxfId="2">
      <formula>1500</formula>
      <formula>2000</formula>
    </cfRule>
    <cfRule type="cellIs" priority="2" operator="between" dxfId="2">
      <formula>1200</formula>
      <formula>2000</formula>
    </cfRule>
    <cfRule type="cellIs" priority="3" operator="greaterThan" dxfId="1">
      <formula>2000</formula>
    </cfRule>
  </conditionalFormatting>
  <conditionalFormatting sqref="H29:H38">
    <cfRule type="cellIs" priority="4" operator="lessThan" dxfId="0">
      <formula>$H$28</formula>
    </cfRule>
  </conditionalFormatting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R36"/>
  <sheetViews>
    <sheetView tabSelected="1" view="pageBreakPreview" zoomScaleNormal="90" zoomScaleSheetLayoutView="100" workbookViewId="0">
      <selection activeCell="E42" sqref="E42"/>
    </sheetView>
  </sheetViews>
  <sheetFormatPr baseColWidth="8" defaultColWidth="9.125" defaultRowHeight="14.3"/>
  <cols>
    <col width="16.125" customWidth="1" min="1" max="1"/>
    <col width="15.625" customWidth="1" min="2" max="5"/>
    <col width="11.125" customWidth="1" min="6" max="6"/>
    <col width="12.875" customWidth="1" min="7" max="7"/>
    <col width="19.5" bestFit="1" customWidth="1" min="8" max="8"/>
    <col width="13.625" bestFit="1" customWidth="1" min="9" max="9"/>
    <col width="11.125" bestFit="1" customWidth="1" min="10" max="10"/>
    <col width="11.125" customWidth="1" min="11" max="12"/>
    <col width="12.75" customWidth="1" min="13" max="13"/>
    <col width="16.375" customWidth="1" min="14" max="15"/>
    <col width="19.875" bestFit="1" customWidth="1" style="229" min="16" max="16"/>
    <col width="26.875" bestFit="1" customWidth="1" min="17" max="17"/>
    <col width="18.375" bestFit="1" customWidth="1" min="18" max="18"/>
  </cols>
  <sheetData>
    <row r="1">
      <c r="A1" s="169" t="inlineStr">
        <is>
          <t xml:space="preserve">Veículos Cadastrados </t>
        </is>
      </c>
      <c r="B1" s="170" t="n"/>
      <c r="C1" s="170" t="n"/>
      <c r="D1" s="170" t="n"/>
      <c r="E1" s="170" t="n"/>
      <c r="F1" s="170" t="n"/>
      <c r="G1" s="170" t="n"/>
      <c r="H1" s="170" t="n"/>
      <c r="I1" s="170" t="n"/>
      <c r="J1" s="170" t="n"/>
      <c r="K1" s="170" t="n"/>
      <c r="L1" s="170" t="n"/>
      <c r="M1" s="170" t="n"/>
      <c r="N1" s="170" t="n"/>
      <c r="O1" s="170" t="n"/>
      <c r="P1" s="228" t="n"/>
      <c r="Q1" s="171" t="n"/>
      <c r="R1" s="172" t="n"/>
    </row>
    <row r="2">
      <c r="A2" s="193" t="inlineStr">
        <is>
          <t>Tipo</t>
        </is>
      </c>
      <c r="B2" s="193" t="inlineStr">
        <is>
          <t xml:space="preserve">Modelos </t>
        </is>
      </c>
      <c r="C2" s="193" t="inlineStr">
        <is>
          <t>Tag</t>
        </is>
      </c>
      <c r="D2" s="193" t="inlineStr">
        <is>
          <t>Locadora</t>
        </is>
      </c>
      <c r="E2" s="193" t="inlineStr">
        <is>
          <t>Localidade</t>
        </is>
      </c>
      <c r="F2" s="193" t="inlineStr">
        <is>
          <t>Placa</t>
        </is>
      </c>
      <c r="G2" s="193" t="inlineStr">
        <is>
          <t>SSO</t>
        </is>
      </c>
      <c r="H2" s="193" t="inlineStr">
        <is>
          <t>Condutores</t>
        </is>
      </c>
      <c r="I2" s="193" t="inlineStr">
        <is>
          <t>SEMANA S1</t>
        </is>
      </c>
      <c r="J2" s="193" t="inlineStr">
        <is>
          <t>KM INICIAL</t>
        </is>
      </c>
      <c r="K2" s="216" t="inlineStr">
        <is>
          <t>S1</t>
        </is>
      </c>
      <c r="L2" s="216" t="inlineStr">
        <is>
          <t>S2</t>
        </is>
      </c>
      <c r="M2" s="216" t="inlineStr">
        <is>
          <t>S3</t>
        </is>
      </c>
      <c r="N2" s="216" t="inlineStr">
        <is>
          <t>S4</t>
        </is>
      </c>
      <c r="O2" s="216" t="inlineStr">
        <is>
          <t>S5</t>
        </is>
      </c>
      <c r="P2" s="236" t="inlineStr">
        <is>
          <t>ULTIMA LAVAGEM</t>
        </is>
      </c>
      <c r="Q2" s="261" t="inlineStr">
        <is>
          <t>STATUS DA LAVAGEM</t>
        </is>
      </c>
      <c r="R2" s="216" t="inlineStr">
        <is>
          <t>PROX. LAVAGEM</t>
        </is>
      </c>
    </row>
    <row r="3">
      <c r="A3" s="198" t="inlineStr">
        <is>
          <t>Leve</t>
        </is>
      </c>
      <c r="B3" s="198" t="inlineStr">
        <is>
          <t>Pulse</t>
        </is>
      </c>
      <c r="C3" s="287" t="inlineStr">
        <is>
          <t>TN 01</t>
        </is>
      </c>
      <c r="D3" s="198" t="inlineStr">
        <is>
          <t>Localiza</t>
        </is>
      </c>
      <c r="E3" s="198" t="inlineStr">
        <is>
          <t>VALE</t>
        </is>
      </c>
      <c r="F3" s="198" t="inlineStr">
        <is>
          <t>TYU8F42</t>
        </is>
      </c>
      <c r="G3" s="198" t="inlineStr">
        <is>
          <t>CARAJÁS</t>
        </is>
      </c>
      <c r="H3" s="199" t="inlineStr">
        <is>
          <t>Henrique</t>
        </is>
      </c>
      <c r="I3" s="244" t="n">
        <v>46241</v>
      </c>
      <c r="J3" s="207" t="n">
        <v>4992</v>
      </c>
      <c r="K3" s="237" t="n">
        <v>5506</v>
      </c>
      <c r="L3" s="237" t="inlineStr">
        <is>
          <t>Não informado</t>
        </is>
      </c>
      <c r="M3" s="207" t="n">
        <v>6947</v>
      </c>
      <c r="N3" s="207" t="n"/>
      <c r="O3" s="207" t="n"/>
      <c r="P3" s="242" t="inlineStr">
        <is>
          <t>04.08.2026</t>
        </is>
      </c>
      <c r="Q3" s="260" t="inlineStr">
        <is>
          <t>EM DIA</t>
        </is>
      </c>
      <c r="R3" s="288" t="inlineStr">
        <is>
          <t>19.06.2026</t>
        </is>
      </c>
    </row>
    <row r="4" customFormat="1" s="19">
      <c r="A4" s="235" t="inlineStr">
        <is>
          <t>Caminhonete</t>
        </is>
      </c>
      <c r="B4" s="235" t="inlineStr">
        <is>
          <t>Hillux</t>
        </is>
      </c>
      <c r="C4" s="287" t="inlineStr">
        <is>
          <t>TN 03</t>
        </is>
      </c>
      <c r="D4" s="235" t="inlineStr">
        <is>
          <t>SINAL</t>
        </is>
      </c>
      <c r="E4" s="235" t="inlineStr">
        <is>
          <t>VALE</t>
        </is>
      </c>
      <c r="F4" s="267" t="inlineStr">
        <is>
          <t>TCD7H75</t>
        </is>
      </c>
      <c r="G4" s="238" t="inlineStr">
        <is>
          <t>CARAJÁS</t>
        </is>
      </c>
      <c r="H4" s="245" t="inlineStr">
        <is>
          <t>Waldecyr</t>
        </is>
      </c>
      <c r="I4" s="244" t="n">
        <v>46241</v>
      </c>
      <c r="J4" s="234" t="n">
        <v>51951</v>
      </c>
      <c r="K4" s="237" t="n">
        <v>52370</v>
      </c>
      <c r="L4" s="237" t="n">
        <v>52602</v>
      </c>
      <c r="M4" s="207" t="n">
        <v>52845</v>
      </c>
      <c r="N4" s="234" t="n"/>
      <c r="O4" s="234" t="n"/>
      <c r="P4" s="242" t="inlineStr">
        <is>
          <t>04.08.2026</t>
        </is>
      </c>
      <c r="Q4" s="260" t="inlineStr">
        <is>
          <t>EM DIA</t>
        </is>
      </c>
      <c r="R4" s="241" t="inlineStr">
        <is>
          <t>17.06.2026</t>
        </is>
      </c>
    </row>
    <row r="5" customFormat="1" s="19">
      <c r="A5" s="235" t="inlineStr">
        <is>
          <t>Caminhonete</t>
        </is>
      </c>
      <c r="B5" s="235" t="inlineStr">
        <is>
          <t>HILLUX</t>
        </is>
      </c>
      <c r="C5" s="60" t="inlineStr">
        <is>
          <t>TN 04</t>
        </is>
      </c>
      <c r="D5" s="235" t="inlineStr">
        <is>
          <t>SINAL</t>
        </is>
      </c>
      <c r="E5" s="235" t="inlineStr">
        <is>
          <t>VALE</t>
        </is>
      </c>
      <c r="F5" s="267" t="inlineStr">
        <is>
          <t>TDM2E37</t>
        </is>
      </c>
      <c r="G5" s="235" t="inlineStr">
        <is>
          <t>CARAJÁS</t>
        </is>
      </c>
      <c r="H5" s="245" t="inlineStr">
        <is>
          <t>Wilian</t>
        </is>
      </c>
      <c r="I5" s="244" t="n">
        <v>46241</v>
      </c>
      <c r="J5" s="234" t="n">
        <v>43927</v>
      </c>
      <c r="K5" s="237" t="n">
        <v>44301</v>
      </c>
      <c r="L5" s="237" t="n">
        <v>44946</v>
      </c>
      <c r="M5" s="207" t="n">
        <v>45282</v>
      </c>
      <c r="N5" s="289" t="n"/>
      <c r="O5" s="234" t="n"/>
      <c r="P5" s="269" t="inlineStr">
        <is>
          <t>05.08.2026</t>
        </is>
      </c>
      <c r="Q5" s="260" t="inlineStr">
        <is>
          <t>EM DIA</t>
        </is>
      </c>
      <c r="R5" s="269" t="inlineStr">
        <is>
          <t>19.06.2026</t>
        </is>
      </c>
    </row>
    <row r="6" customFormat="1" s="19">
      <c r="A6" s="238" t="inlineStr">
        <is>
          <t>Caminhonete</t>
        </is>
      </c>
      <c r="B6" s="238" t="inlineStr">
        <is>
          <t>CHEVROLET S10</t>
        </is>
      </c>
      <c r="C6" s="287" t="inlineStr">
        <is>
          <t>TN 29</t>
        </is>
      </c>
      <c r="D6" s="238" t="inlineStr">
        <is>
          <t>SONDA</t>
        </is>
      </c>
      <c r="E6" s="238" t="inlineStr">
        <is>
          <t>SONDA</t>
        </is>
      </c>
      <c r="F6" s="271" t="inlineStr">
        <is>
          <t>SHX8B70</t>
        </is>
      </c>
      <c r="G6" s="238" t="inlineStr">
        <is>
          <t>CARAJÁS</t>
        </is>
      </c>
      <c r="H6" s="266" t="inlineStr">
        <is>
          <t>João Paulo</t>
        </is>
      </c>
      <c r="I6" s="244" t="n">
        <v>46241</v>
      </c>
      <c r="J6" s="234" t="n">
        <v>68189</v>
      </c>
      <c r="K6" s="237" t="n">
        <v>68132</v>
      </c>
      <c r="L6" s="237" t="n">
        <v>69245</v>
      </c>
      <c r="M6" s="207" t="n">
        <v>69611</v>
      </c>
      <c r="N6" s="234" t="n"/>
      <c r="O6" s="234" t="n"/>
      <c r="P6" s="269" t="inlineStr">
        <is>
          <t>05.08.2026</t>
        </is>
      </c>
      <c r="Q6" s="260" t="inlineStr">
        <is>
          <t>EM DIA</t>
        </is>
      </c>
      <c r="R6" s="269" t="n"/>
    </row>
    <row r="7" customFormat="1" s="19">
      <c r="A7" s="235" t="inlineStr">
        <is>
          <t>Caminhonete</t>
        </is>
      </c>
      <c r="B7" s="235" t="inlineStr">
        <is>
          <t>Hillux</t>
        </is>
      </c>
      <c r="C7" s="287" t="inlineStr">
        <is>
          <t>TN 31</t>
        </is>
      </c>
      <c r="D7" s="235" t="inlineStr">
        <is>
          <t>SINAL</t>
        </is>
      </c>
      <c r="E7" s="235" t="inlineStr">
        <is>
          <t>VALE</t>
        </is>
      </c>
      <c r="F7" s="267" t="inlineStr">
        <is>
          <t>TCD7I68</t>
        </is>
      </c>
      <c r="G7" s="238" t="inlineStr">
        <is>
          <t>CARAJÁS</t>
        </is>
      </c>
      <c r="H7" s="245" t="inlineStr">
        <is>
          <t>Josue</t>
        </is>
      </c>
      <c r="I7" s="244" t="n">
        <v>46241</v>
      </c>
      <c r="J7" s="234" t="n">
        <v>41324</v>
      </c>
      <c r="K7" s="237" t="n">
        <v>41642</v>
      </c>
      <c r="L7" s="237" t="n">
        <v>41990</v>
      </c>
      <c r="M7" s="207" t="n">
        <v>42414</v>
      </c>
      <c r="N7" s="289" t="n"/>
      <c r="O7" s="234" t="n"/>
      <c r="P7" s="269" t="inlineStr">
        <is>
          <t>05.08.2026</t>
        </is>
      </c>
      <c r="Q7" s="260" t="inlineStr">
        <is>
          <t>EM DIA</t>
        </is>
      </c>
      <c r="R7" s="241" t="n"/>
    </row>
    <row r="8" customFormat="1" s="19">
      <c r="A8" s="235" t="inlineStr">
        <is>
          <t>Caminhonete</t>
        </is>
      </c>
      <c r="B8" s="235" t="inlineStr">
        <is>
          <t xml:space="preserve">FORD RANGER </t>
        </is>
      </c>
      <c r="C8" s="60" t="inlineStr">
        <is>
          <t>TN 72</t>
        </is>
      </c>
      <c r="D8" s="235" t="inlineStr">
        <is>
          <t>SONDA</t>
        </is>
      </c>
      <c r="E8" s="235" t="inlineStr">
        <is>
          <t>SONDA</t>
        </is>
      </c>
      <c r="F8" s="267" t="inlineStr">
        <is>
          <t>UQZ7I71</t>
        </is>
      </c>
      <c r="G8" s="238" t="inlineStr">
        <is>
          <t>CARAJÁS</t>
        </is>
      </c>
      <c r="H8" s="245" t="inlineStr">
        <is>
          <t>Rosivaldo</t>
        </is>
      </c>
      <c r="I8" s="244" t="n">
        <v>46241</v>
      </c>
      <c r="J8" s="234" t="n">
        <v>3496</v>
      </c>
      <c r="K8" s="237" t="n">
        <v>3979</v>
      </c>
      <c r="L8" s="237" t="n">
        <v>4353</v>
      </c>
      <c r="M8" s="207" t="n">
        <v>4825</v>
      </c>
      <c r="N8" s="289" t="n"/>
      <c r="O8" s="234" t="n"/>
      <c r="P8" s="241" t="inlineStr">
        <is>
          <t>25.06.2026</t>
        </is>
      </c>
      <c r="Q8" s="260" t="inlineStr">
        <is>
          <t>EM DIA</t>
        </is>
      </c>
      <c r="R8" s="241" t="inlineStr">
        <is>
          <t>30.01.2026</t>
        </is>
      </c>
    </row>
    <row r="9" customFormat="1" s="19">
      <c r="A9" s="238" t="inlineStr">
        <is>
          <t>Caminhonete</t>
        </is>
      </c>
      <c r="B9" s="238" t="inlineStr">
        <is>
          <t>Strada</t>
        </is>
      </c>
      <c r="C9" s="287" t="inlineStr">
        <is>
          <t>TN 73</t>
        </is>
      </c>
      <c r="D9" s="238" t="inlineStr">
        <is>
          <t>Localiza</t>
        </is>
      </c>
      <c r="E9" s="235" t="inlineStr">
        <is>
          <t>VALE</t>
        </is>
      </c>
      <c r="F9" s="271" t="inlineStr">
        <is>
          <t>TYG3A22</t>
        </is>
      </c>
      <c r="G9" s="238" t="inlineStr">
        <is>
          <t>CARAJÁS</t>
        </is>
      </c>
      <c r="H9" s="248" t="inlineStr">
        <is>
          <t>Renato</t>
        </is>
      </c>
      <c r="I9" s="244" t="n">
        <v>46241</v>
      </c>
      <c r="J9" s="234" t="n">
        <v>7168</v>
      </c>
      <c r="K9" s="237" t="n">
        <v>7505</v>
      </c>
      <c r="L9" s="237" t="n">
        <v>8095</v>
      </c>
      <c r="M9" s="207" t="n">
        <v>8405</v>
      </c>
      <c r="N9" s="234" t="n"/>
      <c r="O9" s="234" t="n"/>
      <c r="P9" s="274" t="inlineStr">
        <is>
          <t>13.05.2026</t>
        </is>
      </c>
      <c r="Q9" s="260" t="inlineStr">
        <is>
          <t>EM DIA</t>
        </is>
      </c>
      <c r="R9" s="274" t="inlineStr">
        <is>
          <t>19.06.2026</t>
        </is>
      </c>
    </row>
    <row r="10" customFormat="1" s="19">
      <c r="A10" s="235" t="inlineStr">
        <is>
          <t>Caminhonete</t>
        </is>
      </c>
      <c r="B10" s="235" t="inlineStr">
        <is>
          <t>Hillux</t>
        </is>
      </c>
      <c r="C10" s="287" t="inlineStr">
        <is>
          <t>TN 74</t>
        </is>
      </c>
      <c r="D10" s="235" t="inlineStr">
        <is>
          <t>SINAL</t>
        </is>
      </c>
      <c r="E10" s="235" t="inlineStr">
        <is>
          <t>VALE</t>
        </is>
      </c>
      <c r="F10" s="267" t="inlineStr">
        <is>
          <t>RDM2E33</t>
        </is>
      </c>
      <c r="G10" s="235" t="inlineStr">
        <is>
          <t>CARAJÁS</t>
        </is>
      </c>
      <c r="H10" s="245" t="inlineStr">
        <is>
          <t>Ederson</t>
        </is>
      </c>
      <c r="I10" s="244" t="n">
        <v>46241</v>
      </c>
      <c r="J10" s="19" t="inlineStr">
        <is>
          <t>NÃO INFORMADO</t>
        </is>
      </c>
      <c r="K10" s="237" t="n">
        <v>47776</v>
      </c>
      <c r="L10" s="237" t="n">
        <v>48258</v>
      </c>
      <c r="M10" s="207" t="n">
        <v>48486</v>
      </c>
      <c r="N10" s="234" t="n"/>
      <c r="O10" s="234" t="n"/>
      <c r="P10" s="269" t="inlineStr">
        <is>
          <t>31.07.2026</t>
        </is>
      </c>
      <c r="Q10" s="260" t="inlineStr">
        <is>
          <t>EM DIA</t>
        </is>
      </c>
      <c r="R10" s="269" t="inlineStr">
        <is>
          <t>19.06.2026</t>
        </is>
      </c>
    </row>
    <row r="11" customFormat="1" s="19">
      <c r="A11" s="247" t="inlineStr">
        <is>
          <t>Caminhonete</t>
        </is>
      </c>
      <c r="B11" s="278" t="inlineStr">
        <is>
          <t xml:space="preserve">FORD RANGER </t>
        </is>
      </c>
      <c r="C11" s="285" t="inlineStr">
        <is>
          <t>TN 78</t>
        </is>
      </c>
      <c r="D11" s="247" t="inlineStr">
        <is>
          <t>SONDA</t>
        </is>
      </c>
      <c r="E11" s="247" t="inlineStr">
        <is>
          <t>SONDA</t>
        </is>
      </c>
      <c r="F11" s="279" t="inlineStr">
        <is>
          <t xml:space="preserve">FZY4F28 </t>
        </is>
      </c>
      <c r="G11" s="247" t="inlineStr">
        <is>
          <t>CARAJÁS</t>
        </is>
      </c>
      <c r="H11" s="247" t="inlineStr">
        <is>
          <t xml:space="preserve">Gabriel Garcia  </t>
        </is>
      </c>
      <c r="I11" s="244" t="n">
        <v>46241</v>
      </c>
      <c r="J11" s="234" t="n">
        <v>145668</v>
      </c>
      <c r="K11" s="237" t="n">
        <v>146769</v>
      </c>
      <c r="L11" s="237" t="n">
        <v>147556</v>
      </c>
      <c r="M11" s="207" t="n">
        <v>148403</v>
      </c>
      <c r="N11" s="234" t="n"/>
      <c r="O11" s="234" t="n"/>
      <c r="P11" s="241" t="inlineStr">
        <is>
          <t>20.08.2026</t>
        </is>
      </c>
      <c r="Q11" s="260" t="inlineStr">
        <is>
          <t>EM DIA</t>
        </is>
      </c>
      <c r="R11" s="241" t="inlineStr">
        <is>
          <t>09.04.2026</t>
        </is>
      </c>
    </row>
    <row r="12"/>
    <row r="13">
      <c r="A13" s="169" t="inlineStr">
        <is>
          <t xml:space="preserve">Veículos Cadastrados </t>
        </is>
      </c>
      <c r="B13" s="170" t="n"/>
      <c r="C13" s="170" t="n"/>
      <c r="D13" s="170" t="n"/>
      <c r="E13" s="170" t="n"/>
      <c r="F13" s="255" t="n"/>
      <c r="G13" s="170" t="n"/>
      <c r="H13" s="170" t="n"/>
      <c r="I13" s="170" t="n"/>
      <c r="J13" s="170" t="n"/>
      <c r="K13" s="170" t="n"/>
      <c r="L13" s="170" t="n"/>
      <c r="M13" s="170" t="n"/>
      <c r="N13" s="170" t="n"/>
      <c r="O13" s="170" t="n"/>
      <c r="P13" s="228" t="n"/>
      <c r="Q13" s="171" t="n"/>
      <c r="R13" s="172" t="n"/>
    </row>
    <row r="14" hidden="1">
      <c r="A14" s="193" t="inlineStr">
        <is>
          <t>Tipo</t>
        </is>
      </c>
      <c r="B14" s="193" t="inlineStr">
        <is>
          <t xml:space="preserve">Modelos </t>
        </is>
      </c>
      <c r="C14" s="193" t="inlineStr">
        <is>
          <t>Tag</t>
        </is>
      </c>
      <c r="D14" s="193" t="inlineStr">
        <is>
          <t>Locadora</t>
        </is>
      </c>
      <c r="E14" s="193" t="inlineStr">
        <is>
          <t>Localidade</t>
        </is>
      </c>
      <c r="F14" s="193" t="inlineStr">
        <is>
          <t>Placa</t>
        </is>
      </c>
      <c r="G14" s="193" t="inlineStr">
        <is>
          <t>SSO</t>
        </is>
      </c>
      <c r="H14" s="193" t="inlineStr">
        <is>
          <t>Condutores</t>
        </is>
      </c>
      <c r="I14" s="193" t="inlineStr">
        <is>
          <t>SEMANA 02</t>
        </is>
      </c>
      <c r="J14" s="193" t="inlineStr">
        <is>
          <t>KM TOTAL</t>
        </is>
      </c>
      <c r="K14" s="216" t="inlineStr">
        <is>
          <t>S1</t>
        </is>
      </c>
      <c r="L14" s="216" t="inlineStr">
        <is>
          <t>S2</t>
        </is>
      </c>
      <c r="M14" s="216" t="inlineStr">
        <is>
          <t>S3</t>
        </is>
      </c>
      <c r="N14" s="216" t="inlineStr">
        <is>
          <t>S4</t>
        </is>
      </c>
      <c r="O14" s="216" t="n"/>
      <c r="P14" s="230" t="inlineStr">
        <is>
          <t>ULTIMA LAVAGEM</t>
        </is>
      </c>
      <c r="Q14" s="231" t="inlineStr">
        <is>
          <t xml:space="preserve">LAVAGEM PROGRAMADA </t>
        </is>
      </c>
      <c r="R14" s="232" t="inlineStr">
        <is>
          <t>PROX. LAVAGEM</t>
        </is>
      </c>
    </row>
    <row r="15" hidden="1">
      <c r="A15" s="198" t="inlineStr">
        <is>
          <t>Leve</t>
        </is>
      </c>
      <c r="B15" s="198" t="inlineStr">
        <is>
          <t>Tracker</t>
        </is>
      </c>
      <c r="C15" s="198" t="inlineStr">
        <is>
          <t>TN 01</t>
        </is>
      </c>
      <c r="D15" s="198" t="inlineStr">
        <is>
          <t>Localiza</t>
        </is>
      </c>
      <c r="E15" s="198" t="inlineStr">
        <is>
          <t>CKS</t>
        </is>
      </c>
      <c r="F15" s="198" t="inlineStr">
        <is>
          <t>TCO2C15</t>
        </is>
      </c>
      <c r="G15" s="198" t="inlineStr">
        <is>
          <t>CARAJÁS</t>
        </is>
      </c>
      <c r="H15" s="200" t="inlineStr">
        <is>
          <t>Fabricio Maia</t>
        </is>
      </c>
      <c r="I15" s="161" t="n">
        <v>45912</v>
      </c>
      <c r="J15" s="201">
        <f>SUM(K15:N15)</f>
        <v/>
      </c>
      <c r="K15" s="207">
        <f>K3-$J3</f>
        <v/>
      </c>
      <c r="L15" s="207">
        <f>L3-$J3</f>
        <v/>
      </c>
      <c r="M15" s="207">
        <f>M3-$J3</f>
        <v/>
      </c>
      <c r="N15" s="207">
        <f>N3-$J3</f>
        <v/>
      </c>
      <c r="O15" s="207" t="n"/>
      <c r="P15" s="141" t="n">
        <v>45891</v>
      </c>
      <c r="Q15" s="218" t="n"/>
      <c r="R15" s="98" t="n"/>
    </row>
    <row r="16" hidden="1">
      <c r="A16" s="198" t="inlineStr">
        <is>
          <t>Caminhonete</t>
        </is>
      </c>
      <c r="B16" s="198" t="inlineStr">
        <is>
          <t>Hillux</t>
        </is>
      </c>
      <c r="C16" s="198" t="inlineStr">
        <is>
          <t>TN 03</t>
        </is>
      </c>
      <c r="D16" s="198" t="inlineStr">
        <is>
          <t>SINAL</t>
        </is>
      </c>
      <c r="E16" s="198" t="inlineStr">
        <is>
          <t>CKS</t>
        </is>
      </c>
      <c r="F16" s="198" t="inlineStr">
        <is>
          <t>TCD7H75</t>
        </is>
      </c>
      <c r="G16" s="197" t="inlineStr">
        <is>
          <t>CARAJÁS</t>
        </is>
      </c>
      <c r="H16" s="199" t="inlineStr">
        <is>
          <t>Lucas</t>
        </is>
      </c>
      <c r="I16" s="161" t="n">
        <v>45912</v>
      </c>
      <c r="J16" s="201">
        <f>SUM(K16:N16)</f>
        <v/>
      </c>
      <c r="K16" s="207">
        <f>K4-$J4</f>
        <v/>
      </c>
      <c r="L16" s="207">
        <f>L4-$J4</f>
        <v/>
      </c>
      <c r="M16" s="207">
        <f>M4-$J4</f>
        <v/>
      </c>
      <c r="N16" s="207">
        <f>N4-$J4</f>
        <v/>
      </c>
      <c r="O16" s="207" t="n"/>
      <c r="P16" s="141" t="n">
        <v>45896</v>
      </c>
      <c r="Q16" s="218" t="inlineStr">
        <is>
          <t>pendente</t>
        </is>
      </c>
      <c r="R16" s="99" t="n">
        <v>45921</v>
      </c>
    </row>
    <row r="17" hidden="1">
      <c r="A17" s="198" t="inlineStr">
        <is>
          <t>Caminhonete</t>
        </is>
      </c>
      <c r="B17" s="198" t="inlineStr">
        <is>
          <t>HILLUX</t>
        </is>
      </c>
      <c r="C17" s="198" t="inlineStr">
        <is>
          <t>TN 04</t>
        </is>
      </c>
      <c r="D17" s="198" t="inlineStr">
        <is>
          <t>SINAL</t>
        </is>
      </c>
      <c r="E17" s="198" t="inlineStr">
        <is>
          <t>CKS</t>
        </is>
      </c>
      <c r="F17" s="198" t="inlineStr">
        <is>
          <t>TDM2E37</t>
        </is>
      </c>
      <c r="G17" s="198" t="inlineStr">
        <is>
          <t>CARAJÁS</t>
        </is>
      </c>
      <c r="H17" s="200" t="inlineStr">
        <is>
          <t>MATHEUS</t>
        </is>
      </c>
      <c r="I17" s="161" t="n">
        <v>45912</v>
      </c>
      <c r="J17" s="201">
        <f>SUM(K17:N17)</f>
        <v/>
      </c>
      <c r="K17" s="207">
        <f>K5-$J5</f>
        <v/>
      </c>
      <c r="L17" s="207">
        <f>L5-$J5</f>
        <v/>
      </c>
      <c r="M17" s="207">
        <f>M5-$J5</f>
        <v/>
      </c>
      <c r="N17" s="207">
        <f>N5-$J5</f>
        <v/>
      </c>
      <c r="O17" s="207" t="n"/>
      <c r="P17" s="141" t="n">
        <v>45908</v>
      </c>
      <c r="Q17" s="182" t="inlineStr">
        <is>
          <t>ok</t>
        </is>
      </c>
      <c r="R17" s="99" t="n">
        <v>45919</v>
      </c>
    </row>
    <row r="18" hidden="1">
      <c r="A18" s="197" t="inlineStr">
        <is>
          <t>Caminhonete</t>
        </is>
      </c>
      <c r="B18" s="197" t="inlineStr">
        <is>
          <t>CHEVROLET S10</t>
        </is>
      </c>
      <c r="C18" s="198" t="inlineStr">
        <is>
          <t>TN 29</t>
        </is>
      </c>
      <c r="D18" s="197" t="inlineStr">
        <is>
          <t>Sonda</t>
        </is>
      </c>
      <c r="E18" s="197" t="inlineStr">
        <is>
          <t>CKS</t>
        </is>
      </c>
      <c r="F18" s="197" t="inlineStr">
        <is>
          <t>FXR0F35</t>
        </is>
      </c>
      <c r="G18" s="197" t="inlineStr">
        <is>
          <t>CARAJÁS</t>
        </is>
      </c>
      <c r="H18" s="199" t="inlineStr">
        <is>
          <t>JOÃO TAVARES</t>
        </is>
      </c>
      <c r="I18" s="161" t="n">
        <v>45912</v>
      </c>
      <c r="J18" s="201">
        <f>SUM(K18:N18)</f>
        <v/>
      </c>
      <c r="K18" s="207">
        <f>K6-$J6</f>
        <v/>
      </c>
      <c r="L18" s="207">
        <f>L6-$J6</f>
        <v/>
      </c>
      <c r="M18" s="207">
        <f>M6-$J6</f>
        <v/>
      </c>
      <c r="N18" s="207">
        <f>N6-$J6</f>
        <v/>
      </c>
      <c r="O18" s="207" t="n"/>
      <c r="P18" s="141" t="n">
        <v>45916</v>
      </c>
      <c r="Q18" s="182" t="inlineStr">
        <is>
          <t>ok</t>
        </is>
      </c>
      <c r="R18" s="99" t="n">
        <v>45924</v>
      </c>
    </row>
    <row r="19" hidden="1">
      <c r="A19" s="198" t="inlineStr">
        <is>
          <t>Caminhonete</t>
        </is>
      </c>
      <c r="B19" s="198" t="inlineStr">
        <is>
          <t>Hillux</t>
        </is>
      </c>
      <c r="C19" s="198" t="inlineStr">
        <is>
          <t>TN 31</t>
        </is>
      </c>
      <c r="D19" s="198" t="inlineStr">
        <is>
          <t>SINAL</t>
        </is>
      </c>
      <c r="E19" s="198" t="inlineStr">
        <is>
          <t>CKS</t>
        </is>
      </c>
      <c r="F19" s="198" t="inlineStr">
        <is>
          <t>TCD7I68</t>
        </is>
      </c>
      <c r="G19" s="197" t="inlineStr">
        <is>
          <t>CARAJÁS</t>
        </is>
      </c>
      <c r="H19" s="199" t="inlineStr">
        <is>
          <t>Lucas</t>
        </is>
      </c>
      <c r="I19" s="161" t="n">
        <v>45912</v>
      </c>
      <c r="J19" s="201">
        <f>SUM(K19:N19)</f>
        <v/>
      </c>
      <c r="K19" s="207">
        <f>K7-$J7</f>
        <v/>
      </c>
      <c r="L19" s="207">
        <f>L7-$J7</f>
        <v/>
      </c>
      <c r="M19" s="207">
        <f>M7-$J7</f>
        <v/>
      </c>
      <c r="N19" s="207">
        <f>N7-$J7</f>
        <v/>
      </c>
      <c r="O19" s="207" t="n"/>
      <c r="P19" s="141" t="n">
        <v>45901</v>
      </c>
      <c r="Q19" s="182" t="inlineStr">
        <is>
          <t>pendente</t>
        </is>
      </c>
      <c r="R19" s="99" t="n">
        <v>45920</v>
      </c>
    </row>
    <row r="20" hidden="1">
      <c r="A20" s="198" t="inlineStr">
        <is>
          <t>Caminhonete</t>
        </is>
      </c>
      <c r="B20" s="198" t="inlineStr">
        <is>
          <t xml:space="preserve">FORD RANGER </t>
        </is>
      </c>
      <c r="C20" s="198" t="inlineStr">
        <is>
          <t>TN 72</t>
        </is>
      </c>
      <c r="D20" s="198" t="inlineStr">
        <is>
          <t>Sonda</t>
        </is>
      </c>
      <c r="E20" s="198" t="inlineStr">
        <is>
          <t>CKS</t>
        </is>
      </c>
      <c r="F20" s="198" t="inlineStr">
        <is>
          <t>FXD9A18</t>
        </is>
      </c>
      <c r="G20" s="197" t="inlineStr">
        <is>
          <t>CARAJÁS</t>
        </is>
      </c>
      <c r="H20" s="199" t="inlineStr">
        <is>
          <t>RAIMUNDO CHARLES</t>
        </is>
      </c>
      <c r="I20" s="161" t="n">
        <v>45912</v>
      </c>
      <c r="J20" s="201">
        <f>SUM(K20:N20)</f>
        <v/>
      </c>
      <c r="K20" s="207">
        <f>K8-$J8</f>
        <v/>
      </c>
      <c r="L20" s="207">
        <f>L8-$J8</f>
        <v/>
      </c>
      <c r="M20" s="207">
        <f>M8-$J8</f>
        <v/>
      </c>
      <c r="N20" s="207">
        <f>N8-$J8</f>
        <v/>
      </c>
      <c r="O20" s="207" t="n"/>
      <c r="P20" s="141" t="n">
        <v>45904</v>
      </c>
      <c r="Q20" s="218" t="inlineStr">
        <is>
          <t>pendente</t>
        </is>
      </c>
      <c r="R20" s="99" t="n">
        <v>45926</v>
      </c>
    </row>
    <row r="21" hidden="1">
      <c r="A21" s="197" t="inlineStr">
        <is>
          <t>Caminhonete</t>
        </is>
      </c>
      <c r="B21" s="197" t="inlineStr">
        <is>
          <t>Hillux</t>
        </is>
      </c>
      <c r="C21" s="198" t="inlineStr">
        <is>
          <t>TN 73</t>
        </is>
      </c>
      <c r="D21" s="197" t="inlineStr">
        <is>
          <t>SINAL</t>
        </is>
      </c>
      <c r="E21" s="197" t="inlineStr">
        <is>
          <t>CKS</t>
        </is>
      </c>
      <c r="F21" s="197" t="inlineStr">
        <is>
          <t>TCD7H73</t>
        </is>
      </c>
      <c r="G21" s="197" t="inlineStr">
        <is>
          <t>CARAJÁS</t>
        </is>
      </c>
      <c r="H21" s="199" t="inlineStr">
        <is>
          <t>William</t>
        </is>
      </c>
      <c r="I21" s="161" t="n">
        <v>45912</v>
      </c>
      <c r="J21" s="201">
        <f>SUM(K21:N21)</f>
        <v/>
      </c>
      <c r="K21" s="207">
        <f>K9-#REF!</f>
        <v/>
      </c>
      <c r="L21" s="207">
        <f>L9-#REF!</f>
        <v/>
      </c>
      <c r="M21" s="207">
        <f>M9-#REF!</f>
        <v/>
      </c>
      <c r="N21" s="207">
        <f>N9-#REF!</f>
        <v/>
      </c>
      <c r="O21" s="251" t="n"/>
      <c r="P21" s="59" t="n">
        <v>45905</v>
      </c>
      <c r="Q21" s="184" t="inlineStr">
        <is>
          <t>pendente</t>
        </is>
      </c>
      <c r="R21" s="99" t="n">
        <v>45924</v>
      </c>
    </row>
    <row r="22" hidden="1">
      <c r="A22" s="198" t="inlineStr">
        <is>
          <t>Caminhonete</t>
        </is>
      </c>
      <c r="B22" s="198" t="inlineStr">
        <is>
          <t>Ranger</t>
        </is>
      </c>
      <c r="C22" s="198" t="inlineStr">
        <is>
          <t>TN 74</t>
        </is>
      </c>
      <c r="D22" s="198" t="inlineStr">
        <is>
          <t>SONDA</t>
        </is>
      </c>
      <c r="E22" s="198" t="inlineStr">
        <is>
          <t>CKS</t>
        </is>
      </c>
      <c r="F22" s="198" t="inlineStr">
        <is>
          <t>RDM2E33</t>
        </is>
      </c>
      <c r="G22" s="198" t="inlineStr">
        <is>
          <t>CARAJÁS</t>
        </is>
      </c>
      <c r="H22" s="200" t="inlineStr">
        <is>
          <t>Ederson</t>
        </is>
      </c>
      <c r="I22" s="161" t="n">
        <v>45912</v>
      </c>
      <c r="J22" s="201">
        <f>SUM(K22:N22)</f>
        <v/>
      </c>
      <c r="K22" s="207">
        <f>K10-$J9</f>
        <v/>
      </c>
      <c r="L22" s="207">
        <f>L10-$J9</f>
        <v/>
      </c>
      <c r="M22" s="207">
        <f>M10-$J9</f>
        <v/>
      </c>
      <c r="N22" s="207">
        <f>N10-$J9</f>
        <v/>
      </c>
      <c r="O22" s="207" t="n"/>
      <c r="P22" s="141" t="n">
        <v>45918</v>
      </c>
      <c r="Q22" s="184" t="inlineStr">
        <is>
          <t>ok</t>
        </is>
      </c>
      <c r="R22" s="99" t="n">
        <v>45923</v>
      </c>
    </row>
    <row r="23" hidden="1">
      <c r="A23" s="209" t="inlineStr">
        <is>
          <t>Caminhonete</t>
        </is>
      </c>
      <c r="B23" s="209" t="inlineStr">
        <is>
          <t>NISSAN FRONTIER</t>
        </is>
      </c>
      <c r="C23" s="209" t="inlineStr">
        <is>
          <t>TN 76</t>
        </is>
      </c>
      <c r="D23" s="209" t="inlineStr">
        <is>
          <t>SINAL</t>
        </is>
      </c>
      <c r="E23" s="209" t="inlineStr">
        <is>
          <t>CKS</t>
        </is>
      </c>
      <c r="F23" s="209" t="inlineStr">
        <is>
          <t>TCD7H72</t>
        </is>
      </c>
      <c r="G23" s="209" t="inlineStr">
        <is>
          <t>CARAJÁS</t>
        </is>
      </c>
      <c r="H23" s="217" t="inlineStr">
        <is>
          <t>Renan</t>
        </is>
      </c>
      <c r="I23" s="161" t="n">
        <v>45912</v>
      </c>
      <c r="J23" s="201">
        <f>SUM(K23:N23)</f>
        <v/>
      </c>
      <c r="K23" s="207">
        <f>#REF!-#REF!</f>
        <v/>
      </c>
      <c r="L23" s="207">
        <f>#REF!-#REF!</f>
        <v/>
      </c>
      <c r="M23" s="207">
        <f>#REF!-#REF!</f>
        <v/>
      </c>
      <c r="N23" s="207">
        <f>#REF!-#REF!</f>
        <v/>
      </c>
      <c r="O23" s="207" t="n"/>
      <c r="P23" s="141" t="n">
        <v>45901</v>
      </c>
      <c r="Q23" s="184" t="inlineStr">
        <is>
          <t>pendente</t>
        </is>
      </c>
      <c r="R23" s="99" t="n">
        <v>45922</v>
      </c>
    </row>
    <row r="24" hidden="1">
      <c r="A24" s="202" t="inlineStr">
        <is>
          <t>Caminhonete</t>
        </is>
      </c>
      <c r="B24" s="204" t="inlineStr">
        <is>
          <t>NISSAN FRONTIER</t>
        </is>
      </c>
      <c r="C24" s="204" t="inlineStr">
        <is>
          <t>TN78</t>
        </is>
      </c>
      <c r="D24" s="202" t="inlineStr">
        <is>
          <t>SONDA</t>
        </is>
      </c>
      <c r="E24" s="202" t="inlineStr">
        <is>
          <t>CKS</t>
        </is>
      </c>
      <c r="F24" s="202" t="inlineStr">
        <is>
          <t xml:space="preserve">FZY4F28 </t>
        </is>
      </c>
      <c r="G24" s="202" t="inlineStr">
        <is>
          <t>CARAJÁS</t>
        </is>
      </c>
      <c r="H24" s="202" t="inlineStr">
        <is>
          <t>Ederson</t>
        </is>
      </c>
      <c r="I24" s="161" t="n">
        <v>45912</v>
      </c>
      <c r="J24" s="201">
        <f>SUM(K24:N24)</f>
        <v/>
      </c>
      <c r="K24" s="207">
        <f>K11-$J11</f>
        <v/>
      </c>
      <c r="L24" s="207">
        <f>L11-$J11</f>
        <v/>
      </c>
      <c r="M24" s="207">
        <f>M11-$J11</f>
        <v/>
      </c>
      <c r="N24" s="207">
        <f>N11-$J11</f>
        <v/>
      </c>
      <c r="O24" s="207" t="n"/>
      <c r="P24" s="141" t="n">
        <v>45905</v>
      </c>
      <c r="Q24" s="184" t="inlineStr">
        <is>
          <t>pendente</t>
        </is>
      </c>
      <c r="R24" s="99" t="n">
        <v>45922</v>
      </c>
    </row>
    <row r="25" ht="14.95" customHeight="1" thickBot="1"/>
    <row r="26" ht="28.55" customHeight="1">
      <c r="A26" s="319" t="inlineStr">
        <is>
          <t>ACOMPANHAMENTO KM SEMANA</t>
        </is>
      </c>
      <c r="B26" s="328" t="n"/>
      <c r="C26" s="328" t="n"/>
      <c r="D26" s="328" t="n"/>
      <c r="E26" s="328" t="n"/>
      <c r="F26" s="226" t="n"/>
      <c r="G26" s="250" t="inlineStr">
        <is>
          <t>ULTIMA LAVAGEM</t>
        </is>
      </c>
      <c r="H26" s="259" t="inlineStr">
        <is>
          <t>Proxima Lavagem</t>
        </is>
      </c>
    </row>
    <row r="27" ht="14.95" customHeight="1" thickBot="1">
      <c r="A27" s="227" t="inlineStr">
        <is>
          <t>TAG</t>
        </is>
      </c>
      <c r="B27" s="222" t="inlineStr">
        <is>
          <t>S1</t>
        </is>
      </c>
      <c r="C27" s="222" t="inlineStr">
        <is>
          <t>S2</t>
        </is>
      </c>
      <c r="D27" s="222" t="inlineStr">
        <is>
          <t>S3</t>
        </is>
      </c>
      <c r="E27" s="223" t="inlineStr">
        <is>
          <t>S4</t>
        </is>
      </c>
      <c r="F27" s="223" t="inlineStr">
        <is>
          <t>S5</t>
        </is>
      </c>
      <c r="G27" s="224" t="inlineStr">
        <is>
          <t>ACUM.</t>
        </is>
      </c>
      <c r="H27" s="225" t="n"/>
      <c r="Q27" s="229" t="n"/>
    </row>
    <row r="28" ht="14.95" customHeight="1" thickBot="1">
      <c r="A28" s="252" t="inlineStr">
        <is>
          <t>TN 01</t>
        </is>
      </c>
      <c r="B28" s="253" t="n">
        <v>514</v>
      </c>
      <c r="C28" s="254" t="n"/>
      <c r="D28" s="254" t="n">
        <v>1441</v>
      </c>
      <c r="E28" s="254" t="n"/>
      <c r="F28" s="254" t="n"/>
      <c r="G28" s="257" t="n">
        <v>1955</v>
      </c>
      <c r="H28" s="239">
        <f>R3</f>
        <v/>
      </c>
      <c r="Q28" s="229" t="n"/>
    </row>
    <row r="29" ht="14.95" customHeight="1" thickBot="1">
      <c r="A29" s="219" t="inlineStr">
        <is>
          <t>TN 03</t>
        </is>
      </c>
      <c r="B29" s="253" t="n">
        <v>419</v>
      </c>
      <c r="C29" s="254" t="n">
        <v>232</v>
      </c>
      <c r="D29" s="254" t="n">
        <v>243</v>
      </c>
      <c r="E29" s="254" t="n"/>
      <c r="F29" s="254" t="n"/>
      <c r="G29" s="257" t="n">
        <v>894</v>
      </c>
      <c r="H29" s="239">
        <f>R4</f>
        <v/>
      </c>
      <c r="Q29" s="229" t="n"/>
    </row>
    <row r="30" ht="14.95" customHeight="1" thickBot="1">
      <c r="A30" s="219" t="inlineStr">
        <is>
          <t>TN 04</t>
        </is>
      </c>
      <c r="B30" s="253" t="n">
        <v>374</v>
      </c>
      <c r="C30" s="254" t="n">
        <v>645</v>
      </c>
      <c r="D30" s="254" t="n">
        <v>336</v>
      </c>
      <c r="E30" s="254" t="n"/>
      <c r="F30" s="254" t="n"/>
      <c r="G30" s="257" t="n">
        <v>1355</v>
      </c>
      <c r="H30" s="239">
        <f>R5</f>
        <v/>
      </c>
      <c r="Q30" s="229" t="n"/>
    </row>
    <row r="31" ht="14.95" customHeight="1" thickBot="1">
      <c r="A31" s="219" t="inlineStr">
        <is>
          <t>TN 29</t>
        </is>
      </c>
      <c r="B31" s="253" t="n"/>
      <c r="C31" s="254" t="n">
        <v>1113</v>
      </c>
      <c r="D31" s="254" t="n">
        <v>366</v>
      </c>
      <c r="E31" s="254" t="n"/>
      <c r="F31" s="254" t="n"/>
      <c r="G31" s="257" t="n">
        <v>1422</v>
      </c>
      <c r="H31" s="239">
        <f>R6</f>
        <v/>
      </c>
      <c r="Q31" s="229" t="n"/>
    </row>
    <row r="32" ht="14.95" customHeight="1" thickBot="1">
      <c r="A32" s="219" t="inlineStr">
        <is>
          <t>TN 31</t>
        </is>
      </c>
      <c r="B32" s="253" t="n">
        <v>318</v>
      </c>
      <c r="C32" s="254" t="n">
        <v>348</v>
      </c>
      <c r="D32" s="254" t="n">
        <v>424</v>
      </c>
      <c r="E32" s="254" t="n"/>
      <c r="F32" s="254" t="n"/>
      <c r="G32" s="257" t="n">
        <v>1090</v>
      </c>
      <c r="H32" s="239">
        <f>R7</f>
        <v/>
      </c>
      <c r="Q32" s="229" t="n"/>
    </row>
    <row r="33" ht="14.95" customHeight="1" thickBot="1">
      <c r="A33" s="219" t="inlineStr">
        <is>
          <t>TN 72</t>
        </is>
      </c>
      <c r="B33" s="253" t="n">
        <v>483</v>
      </c>
      <c r="C33" s="254" t="n">
        <v>374</v>
      </c>
      <c r="D33" s="254" t="n">
        <v>472</v>
      </c>
      <c r="E33" s="254" t="n"/>
      <c r="F33" s="254" t="n"/>
      <c r="G33" s="257" t="n">
        <v>1329</v>
      </c>
      <c r="H33" s="239">
        <f>R8</f>
        <v/>
      </c>
      <c r="Q33" s="229" t="n"/>
    </row>
    <row r="34" ht="14.95" customHeight="1" thickBot="1">
      <c r="A34" s="219" t="inlineStr">
        <is>
          <t>TN 73</t>
        </is>
      </c>
      <c r="B34" s="253" t="n">
        <v>337</v>
      </c>
      <c r="C34" s="254" t="n">
        <v>590</v>
      </c>
      <c r="D34" s="254" t="n">
        <v>310</v>
      </c>
      <c r="E34" s="254" t="n"/>
      <c r="F34" s="254" t="n"/>
      <c r="G34" s="257" t="n">
        <v>1237</v>
      </c>
      <c r="H34" s="239">
        <f>R9</f>
        <v/>
      </c>
      <c r="Q34" s="229" t="n"/>
    </row>
    <row r="35" ht="14.95" customHeight="1" thickBot="1">
      <c r="A35" s="219" t="inlineStr">
        <is>
          <t>TN 74</t>
        </is>
      </c>
      <c r="B35" s="253" t="n"/>
      <c r="C35" s="254" t="n">
        <v>482</v>
      </c>
      <c r="D35" s="254" t="n">
        <v>228</v>
      </c>
      <c r="E35" s="254" t="n"/>
      <c r="F35" s="254" t="n"/>
      <c r="G35" s="257" t="n">
        <v>710</v>
      </c>
      <c r="H35" s="239">
        <f>R10</f>
        <v/>
      </c>
      <c r="Q35" s="229" t="n"/>
    </row>
    <row r="36" ht="14.95" customHeight="1" thickBot="1">
      <c r="A36" s="221" t="inlineStr">
        <is>
          <t>TN78</t>
        </is>
      </c>
      <c r="B36" s="253" t="n">
        <v>1101</v>
      </c>
      <c r="C36" s="254" t="n">
        <v>787</v>
      </c>
      <c r="D36" s="254" t="n">
        <v>847</v>
      </c>
      <c r="E36" s="254" t="n"/>
      <c r="F36" s="254" t="n"/>
      <c r="G36" s="257" t="n">
        <v>2735</v>
      </c>
      <c r="H36" s="239">
        <f>R11</f>
        <v/>
      </c>
      <c r="Q36" s="229" t="n"/>
    </row>
  </sheetData>
  <autoFilter ref="A2:R2">
    <sortState ref="A3:R12">
      <sortCondition ref="C2"/>
    </sortState>
  </autoFilter>
  <mergeCells count="1">
    <mergeCell ref="A26:E26"/>
  </mergeCells>
  <conditionalFormatting sqref="B28:B36 C29:E29 E30:E36 F29:G36">
    <cfRule type="cellIs" priority="16" operator="between" dxfId="8">
      <formula>1</formula>
      <formula>299</formula>
    </cfRule>
    <cfRule type="cellIs" priority="14" operator="greaterThan" dxfId="1">
      <formula>500</formula>
    </cfRule>
    <cfRule type="cellIs" priority="15" operator="between" dxfId="2">
      <formula>300</formula>
      <formula>500</formula>
    </cfRule>
  </conditionalFormatting>
  <conditionalFormatting sqref="B28:G36">
    <cfRule type="cellIs" priority="17" operator="equal">
      <formula>0</formula>
    </cfRule>
  </conditionalFormatting>
  <conditionalFormatting sqref="C28:G36">
    <cfRule type="cellIs" priority="11" operator="between" dxfId="8">
      <formula>1</formula>
      <formula>600</formula>
    </cfRule>
    <cfRule type="cellIs" priority="12" operator="between" dxfId="2">
      <formula>600</formula>
      <formula>1000</formula>
    </cfRule>
    <cfRule type="cellIs" priority="13" operator="greaterThan" dxfId="1">
      <formula>1000</formula>
    </cfRule>
  </conditionalFormatting>
  <conditionalFormatting sqref="D28:G36">
    <cfRule type="cellIs" priority="8" operator="greaterThan" dxfId="1">
      <formula>1501</formula>
    </cfRule>
    <cfRule type="cellIs" priority="9" operator="between" dxfId="8">
      <formula>1</formula>
      <formula>900</formula>
    </cfRule>
    <cfRule type="cellIs" priority="10" operator="between" dxfId="2">
      <formula>900</formula>
      <formula>1500</formula>
    </cfRule>
  </conditionalFormatting>
  <conditionalFormatting sqref="E29:F36">
    <cfRule type="cellIs" priority="7" operator="greaterThan" dxfId="1">
      <formula>2000</formula>
    </cfRule>
  </conditionalFormatting>
  <conditionalFormatting sqref="E29:F36 G28:G36">
    <cfRule type="cellIs" priority="5" operator="between" dxfId="2">
      <formula>1201</formula>
      <formula>2000</formula>
    </cfRule>
    <cfRule type="cellIs" priority="6" operator="between" dxfId="1">
      <formula>1</formula>
      <formula>1200</formula>
    </cfRule>
  </conditionalFormatting>
  <conditionalFormatting sqref="G28:G36">
    <cfRule type="cellIs" priority="1" operator="between" dxfId="2">
      <formula>1500</formula>
      <formula>2000</formula>
    </cfRule>
    <cfRule type="cellIs" priority="2" operator="between" dxfId="2">
      <formula>1200</formula>
      <formula>2000</formula>
    </cfRule>
    <cfRule type="cellIs" priority="3" operator="greaterThan" dxfId="1">
      <formula>2000</formula>
    </cfRule>
  </conditionalFormatting>
  <conditionalFormatting sqref="H28:H36">
    <cfRule type="cellIs" priority="4" operator="lessThan" dxfId="0">
      <formula>$H$27</formula>
    </cfRule>
  </conditionalFormatting>
  <pageMargins left="0.7" right="0.7" top="0.75" bottom="0.75" header="0.3" footer="0.3"/>
  <pageSetup orientation="portrait" scale="52"/>
  <colBreaks count="2" manualBreakCount="2">
    <brk id="6" min="0" max="36" man="1"/>
    <brk id="17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Rizolene do Amaral Barbosa_CONTR</dc:creator>
  <dcterms:created xsi:type="dcterms:W3CDTF">2024-01-08T15:46:46Z</dcterms:created>
  <dcterms:modified xsi:type="dcterms:W3CDTF">2026-08-29T20:05:32Z</dcterms:modified>
  <cp:lastModifiedBy>Meu Computador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0x0101006828F3E53A6E4D4ABECDF8F0052418BB</vt:lpwstr>
  </property>
  <property name="MediaServiceImageTags" fmtid="{D5CDD505-2E9C-101B-9397-08002B2CF9AE}" pid="3">
    <vt:lpwstr/>
  </property>
</Properties>
</file>