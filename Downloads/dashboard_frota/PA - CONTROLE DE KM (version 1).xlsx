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eu Computador\Downloads\"/>
    </mc:Choice>
  </mc:AlternateContent>
  <bookViews>
    <workbookView xWindow="-109" yWindow="-109" windowWidth="19426" windowHeight="10297" tabRatio="607" firstSheet="40" activeTab="47"/>
  </bookViews>
  <sheets>
    <sheet name="13 12" sheetId="1" state="hidden" r:id="rId1"/>
    <sheet name="20 12 (2)" sheetId="2" state="hidden" r:id="rId2"/>
    <sheet name="27 12 (3)" sheetId="3" state="hidden" r:id="rId3"/>
    <sheet name="03 01" sheetId="4" state="hidden" r:id="rId4"/>
    <sheet name="1701" sheetId="5" state="hidden" r:id="rId5"/>
    <sheet name="21 02" sheetId="10" state="hidden" r:id="rId6"/>
    <sheet name="14 02" sheetId="9" state="hidden" r:id="rId7"/>
    <sheet name="24 01" sheetId="6" state="hidden" r:id="rId8"/>
    <sheet name="31 01 (2)" sheetId="7" state="hidden" r:id="rId9"/>
    <sheet name="07 02" sheetId="8" state="hidden" r:id="rId10"/>
    <sheet name="07 03" sheetId="11" state="hidden" r:id="rId11"/>
    <sheet name="14 03" sheetId="12" state="hidden" r:id="rId12"/>
    <sheet name="21 03" sheetId="13" state="hidden" r:id="rId13"/>
    <sheet name="280 3" sheetId="14" state="hidden" r:id="rId14"/>
    <sheet name="04 04 " sheetId="15" state="hidden" r:id="rId15"/>
    <sheet name="17 04" sheetId="17" state="hidden" r:id="rId16"/>
    <sheet name="11 04" sheetId="16" state="hidden" r:id="rId17"/>
    <sheet name="25 04" sheetId="18" state="hidden" r:id="rId18"/>
    <sheet name="16 05" sheetId="21" state="hidden" r:id="rId19"/>
    <sheet name="30 04" sheetId="19" state="hidden" r:id="rId20"/>
    <sheet name="09 05" sheetId="20" state="hidden" r:id="rId21"/>
    <sheet name="23 05" sheetId="22" state="hidden" r:id="rId22"/>
    <sheet name="30 05" sheetId="23" state="hidden" r:id="rId23"/>
    <sheet name="06 06" sheetId="24" state="hidden" r:id="rId24"/>
    <sheet name="13 06" sheetId="25" state="hidden" r:id="rId25"/>
    <sheet name="18 06" sheetId="26" state="hidden" r:id="rId26"/>
    <sheet name="27 06" sheetId="27" state="hidden" r:id="rId27"/>
    <sheet name="04 07" sheetId="28" state="hidden" r:id="rId28"/>
    <sheet name="11 07" sheetId="29" state="hidden" r:id="rId29"/>
    <sheet name="18 07" sheetId="30" state="hidden" r:id="rId30"/>
    <sheet name="25 07 " sheetId="31" state="hidden" r:id="rId31"/>
    <sheet name="01 08" sheetId="32" state="hidden" r:id="rId32"/>
    <sheet name="08 08" sheetId="33" state="hidden" r:id="rId33"/>
    <sheet name="14 08" sheetId="34" state="hidden" r:id="rId34"/>
    <sheet name="22 08" sheetId="35" state="hidden" r:id="rId35"/>
    <sheet name="29 08" sheetId="36" state="hidden" r:id="rId36"/>
    <sheet name="12 09" sheetId="38" state="hidden" r:id="rId37"/>
    <sheet name="05 09" sheetId="37" state="hidden" r:id="rId38"/>
    <sheet name="OUTUBRO 2025" sheetId="39" r:id="rId39"/>
    <sheet name="NOVEMBRO 2025" sheetId="40" r:id="rId40"/>
    <sheet name="JANEIRO" sheetId="41" r:id="rId41"/>
    <sheet name="FEVEREIRO" sheetId="43" r:id="rId42"/>
    <sheet name="MARÇO " sheetId="49" r:id="rId43"/>
    <sheet name="ABRIL " sheetId="51" r:id="rId44"/>
    <sheet name="MAIO " sheetId="52" r:id="rId45"/>
    <sheet name="JUNHO" sheetId="45" r:id="rId46"/>
    <sheet name="JULHO" sheetId="53" r:id="rId47"/>
    <sheet name="AGOSTO" sheetId="55" r:id="rId48"/>
  </sheets>
  <definedNames>
    <definedName name="_xlnm._FilterDatabase" localSheetId="43" hidden="1">'ABRIL '!$A$2:$R$12</definedName>
    <definedName name="_xlnm._FilterDatabase" localSheetId="47" hidden="1">AGOSTO!$A$2:$R$2</definedName>
    <definedName name="_xlnm._FilterDatabase" localSheetId="41" hidden="1">FEVEREIRO!$A$2:$R$2</definedName>
    <definedName name="_xlnm._FilterDatabase" localSheetId="40" hidden="1">JANEIRO!$A$2:$R$2</definedName>
    <definedName name="_xlnm._FilterDatabase" localSheetId="46" hidden="1">JULHO!$A$2:$R$2</definedName>
    <definedName name="_xlnm._FilterDatabase" localSheetId="45" hidden="1">JUNHO!$A$2:$R$2</definedName>
    <definedName name="_xlnm._FilterDatabase" localSheetId="44" hidden="1">'MAIO '!$A$2:$R$2</definedName>
    <definedName name="_xlnm._FilterDatabase" localSheetId="42" hidden="1">'MARÇO '!$A$2:$R$2</definedName>
    <definedName name="_xlnm._FilterDatabase" localSheetId="39" hidden="1">'NOVEMBRO 2025'!$A$2:$R$2</definedName>
    <definedName name="_xlnm._FilterDatabase" localSheetId="38" hidden="1">'OUTUBRO 2025'!$A$2:$R$2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55" l="1"/>
  <c r="F36" i="55"/>
  <c r="E36" i="55"/>
  <c r="D36" i="55"/>
  <c r="C36" i="55"/>
  <c r="B36" i="55"/>
  <c r="H35" i="55"/>
  <c r="F35" i="55"/>
  <c r="E35" i="55"/>
  <c r="D35" i="55"/>
  <c r="C35" i="55"/>
  <c r="B35" i="55"/>
  <c r="H34" i="55"/>
  <c r="F34" i="55"/>
  <c r="E34" i="55"/>
  <c r="D34" i="55"/>
  <c r="C34" i="55"/>
  <c r="B34" i="55"/>
  <c r="H33" i="55"/>
  <c r="F33" i="55"/>
  <c r="E33" i="55"/>
  <c r="D33" i="55"/>
  <c r="C33" i="55"/>
  <c r="B33" i="55"/>
  <c r="H32" i="55"/>
  <c r="F32" i="55"/>
  <c r="E32" i="55"/>
  <c r="D32" i="55"/>
  <c r="C32" i="55"/>
  <c r="B32" i="55"/>
  <c r="H31" i="55"/>
  <c r="F31" i="55"/>
  <c r="E31" i="55"/>
  <c r="D31" i="55"/>
  <c r="C31" i="55"/>
  <c r="B31" i="55"/>
  <c r="H30" i="55"/>
  <c r="F30" i="55"/>
  <c r="E30" i="55"/>
  <c r="D30" i="55"/>
  <c r="C30" i="55"/>
  <c r="B30" i="55"/>
  <c r="H29" i="55"/>
  <c r="F29" i="55"/>
  <c r="E29" i="55"/>
  <c r="D29" i="55"/>
  <c r="C29" i="55"/>
  <c r="B29" i="55"/>
  <c r="H28" i="55"/>
  <c r="F28" i="55"/>
  <c r="E28" i="55"/>
  <c r="D28" i="55"/>
  <c r="C28" i="55"/>
  <c r="B28" i="55"/>
  <c r="N24" i="55"/>
  <c r="M24" i="55"/>
  <c r="L24" i="55"/>
  <c r="K24" i="55"/>
  <c r="N23" i="55"/>
  <c r="M23" i="55"/>
  <c r="L23" i="55"/>
  <c r="K23" i="55"/>
  <c r="J23" i="55" s="1"/>
  <c r="N22" i="55"/>
  <c r="M22" i="55"/>
  <c r="L22" i="55"/>
  <c r="K22" i="55"/>
  <c r="N21" i="55"/>
  <c r="M21" i="55"/>
  <c r="L21" i="55"/>
  <c r="K21" i="55"/>
  <c r="N20" i="55"/>
  <c r="M20" i="55"/>
  <c r="J20" i="55" s="1"/>
  <c r="L20" i="55"/>
  <c r="K20" i="55"/>
  <c r="N19" i="55"/>
  <c r="M19" i="55"/>
  <c r="L19" i="55"/>
  <c r="K19" i="55"/>
  <c r="N18" i="55"/>
  <c r="M18" i="55"/>
  <c r="L18" i="55"/>
  <c r="K18" i="55"/>
  <c r="N17" i="55"/>
  <c r="M17" i="55"/>
  <c r="L17" i="55"/>
  <c r="K17" i="55"/>
  <c r="N16" i="55"/>
  <c r="M16" i="55"/>
  <c r="L16" i="55"/>
  <c r="K16" i="55"/>
  <c r="N15" i="55"/>
  <c r="M15" i="55"/>
  <c r="L15" i="55"/>
  <c r="K15" i="55"/>
  <c r="G28" i="55" l="1"/>
  <c r="J21" i="55"/>
  <c r="J22" i="55"/>
  <c r="G29" i="55"/>
  <c r="G31" i="55"/>
  <c r="J24" i="55"/>
  <c r="J16" i="55"/>
  <c r="G32" i="55"/>
  <c r="G36" i="55"/>
  <c r="G30" i="55"/>
  <c r="G35" i="55"/>
  <c r="G34" i="55"/>
  <c r="G33" i="55"/>
  <c r="J19" i="55"/>
  <c r="J18" i="55"/>
  <c r="J17" i="55"/>
  <c r="J15" i="55"/>
  <c r="H38" i="53"/>
  <c r="F38" i="53"/>
  <c r="E38" i="53"/>
  <c r="D38" i="53"/>
  <c r="C38" i="53"/>
  <c r="B38" i="53"/>
  <c r="H37" i="53"/>
  <c r="F37" i="53"/>
  <c r="E37" i="53"/>
  <c r="D37" i="53"/>
  <c r="C37" i="53"/>
  <c r="B37" i="53"/>
  <c r="G37" i="53" s="1"/>
  <c r="H36" i="53"/>
  <c r="F36" i="53"/>
  <c r="E36" i="53"/>
  <c r="D36" i="53"/>
  <c r="C36" i="53"/>
  <c r="B36" i="53"/>
  <c r="H35" i="53"/>
  <c r="F35" i="53"/>
  <c r="E35" i="53"/>
  <c r="D35" i="53"/>
  <c r="C35" i="53"/>
  <c r="B35" i="53"/>
  <c r="H34" i="53"/>
  <c r="F34" i="53"/>
  <c r="E34" i="53"/>
  <c r="D34" i="53"/>
  <c r="C34" i="53"/>
  <c r="B34" i="53"/>
  <c r="H33" i="53"/>
  <c r="F33" i="53"/>
  <c r="E33" i="53"/>
  <c r="D33" i="53"/>
  <c r="C33" i="53"/>
  <c r="B33" i="53"/>
  <c r="H32" i="53"/>
  <c r="F32" i="53"/>
  <c r="E32" i="53"/>
  <c r="D32" i="53"/>
  <c r="C32" i="53"/>
  <c r="B32" i="53"/>
  <c r="H31" i="53"/>
  <c r="F31" i="53"/>
  <c r="E31" i="53"/>
  <c r="D31" i="53"/>
  <c r="C31" i="53"/>
  <c r="B31" i="53"/>
  <c r="H30" i="53"/>
  <c r="F30" i="53"/>
  <c r="E30" i="53"/>
  <c r="D30" i="53"/>
  <c r="C30" i="53"/>
  <c r="B30" i="53"/>
  <c r="G30" i="53" s="1"/>
  <c r="H29" i="53"/>
  <c r="F29" i="53"/>
  <c r="E29" i="53"/>
  <c r="D29" i="53"/>
  <c r="C29" i="53"/>
  <c r="B29" i="53"/>
  <c r="G29" i="53" s="1"/>
  <c r="N25" i="53"/>
  <c r="J25" i="53" s="1"/>
  <c r="M25" i="53"/>
  <c r="L25" i="53"/>
  <c r="K25" i="53"/>
  <c r="N24" i="53"/>
  <c r="M24" i="53"/>
  <c r="L24" i="53"/>
  <c r="K24" i="53"/>
  <c r="J24" i="53" s="1"/>
  <c r="N23" i="53"/>
  <c r="M23" i="53"/>
  <c r="L23" i="53"/>
  <c r="K23" i="53"/>
  <c r="N22" i="53"/>
  <c r="M22" i="53"/>
  <c r="L22" i="53"/>
  <c r="K22" i="53"/>
  <c r="N21" i="53"/>
  <c r="M21" i="53"/>
  <c r="L21" i="53"/>
  <c r="K21" i="53"/>
  <c r="N20" i="53"/>
  <c r="M20" i="53"/>
  <c r="L20" i="53"/>
  <c r="K20" i="53"/>
  <c r="N19" i="53"/>
  <c r="M19" i="53"/>
  <c r="L19" i="53"/>
  <c r="K19" i="53"/>
  <c r="N18" i="53"/>
  <c r="M18" i="53"/>
  <c r="L18" i="53"/>
  <c r="K18" i="53"/>
  <c r="N17" i="53"/>
  <c r="M17" i="53"/>
  <c r="L17" i="53"/>
  <c r="K17" i="53"/>
  <c r="N16" i="53"/>
  <c r="M16" i="53"/>
  <c r="L16" i="53"/>
  <c r="K16" i="53"/>
  <c r="J16" i="53" s="1"/>
  <c r="H38" i="52"/>
  <c r="F38" i="52"/>
  <c r="E38" i="52"/>
  <c r="D38" i="52"/>
  <c r="C38" i="52"/>
  <c r="B38" i="52"/>
  <c r="H37" i="52"/>
  <c r="F37" i="52"/>
  <c r="E37" i="52"/>
  <c r="D37" i="52"/>
  <c r="C37" i="52"/>
  <c r="B37" i="52"/>
  <c r="H36" i="52"/>
  <c r="F36" i="52"/>
  <c r="E36" i="52"/>
  <c r="D36" i="52"/>
  <c r="C36" i="52"/>
  <c r="B36" i="52"/>
  <c r="G36" i="52" s="1"/>
  <c r="H35" i="52"/>
  <c r="F35" i="52"/>
  <c r="E35" i="52"/>
  <c r="D35" i="52"/>
  <c r="C35" i="52"/>
  <c r="B35" i="52"/>
  <c r="H34" i="52"/>
  <c r="F34" i="52"/>
  <c r="E34" i="52"/>
  <c r="D34" i="52"/>
  <c r="C34" i="52"/>
  <c r="B34" i="52"/>
  <c r="H33" i="52"/>
  <c r="F33" i="52"/>
  <c r="E33" i="52"/>
  <c r="D33" i="52"/>
  <c r="C33" i="52"/>
  <c r="B33" i="52"/>
  <c r="H32" i="52"/>
  <c r="F32" i="52"/>
  <c r="E32" i="52"/>
  <c r="D32" i="52"/>
  <c r="C32" i="52"/>
  <c r="B32" i="52"/>
  <c r="H31" i="52"/>
  <c r="F31" i="52"/>
  <c r="E31" i="52"/>
  <c r="D31" i="52"/>
  <c r="C31" i="52"/>
  <c r="B31" i="52"/>
  <c r="H30" i="52"/>
  <c r="F30" i="52"/>
  <c r="E30" i="52"/>
  <c r="D30" i="52"/>
  <c r="C30" i="52"/>
  <c r="B30" i="52"/>
  <c r="H29" i="52"/>
  <c r="F29" i="52"/>
  <c r="E29" i="52"/>
  <c r="D29" i="52"/>
  <c r="C29" i="52"/>
  <c r="B29" i="52"/>
  <c r="G29" i="52" s="1"/>
  <c r="N25" i="52"/>
  <c r="M25" i="52"/>
  <c r="L25" i="52"/>
  <c r="K25" i="52"/>
  <c r="N24" i="52"/>
  <c r="M24" i="52"/>
  <c r="L24" i="52"/>
  <c r="K24" i="52"/>
  <c r="N23" i="52"/>
  <c r="M23" i="52"/>
  <c r="L23" i="52"/>
  <c r="K23" i="52"/>
  <c r="J23" i="52" s="1"/>
  <c r="N22" i="52"/>
  <c r="M22" i="52"/>
  <c r="L22" i="52"/>
  <c r="K22" i="52"/>
  <c r="N21" i="52"/>
  <c r="M21" i="52"/>
  <c r="L21" i="52"/>
  <c r="K21" i="52"/>
  <c r="N20" i="52"/>
  <c r="M20" i="52"/>
  <c r="L20" i="52"/>
  <c r="K20" i="52"/>
  <c r="N19" i="52"/>
  <c r="M19" i="52"/>
  <c r="L19" i="52"/>
  <c r="K19" i="52"/>
  <c r="N18" i="52"/>
  <c r="M18" i="52"/>
  <c r="L18" i="52"/>
  <c r="K18" i="52"/>
  <c r="N17" i="52"/>
  <c r="M17" i="52"/>
  <c r="L17" i="52"/>
  <c r="K17" i="52"/>
  <c r="N16" i="52"/>
  <c r="M16" i="52"/>
  <c r="L16" i="52"/>
  <c r="K16" i="52"/>
  <c r="J16" i="52" s="1"/>
  <c r="H38" i="51"/>
  <c r="F38" i="51"/>
  <c r="E38" i="51"/>
  <c r="D38" i="51"/>
  <c r="C38" i="51"/>
  <c r="B38" i="51"/>
  <c r="H37" i="51"/>
  <c r="F37" i="51"/>
  <c r="E37" i="51"/>
  <c r="D37" i="51"/>
  <c r="C37" i="51"/>
  <c r="B37" i="51"/>
  <c r="H36" i="51"/>
  <c r="F36" i="51"/>
  <c r="E36" i="51"/>
  <c r="D36" i="51"/>
  <c r="C36" i="51"/>
  <c r="B36" i="51"/>
  <c r="H35" i="51"/>
  <c r="F35" i="51"/>
  <c r="E35" i="51"/>
  <c r="D35" i="51"/>
  <c r="C35" i="51"/>
  <c r="B35" i="51"/>
  <c r="H34" i="51"/>
  <c r="F34" i="51"/>
  <c r="E34" i="51"/>
  <c r="D34" i="51"/>
  <c r="C34" i="51"/>
  <c r="B34" i="51"/>
  <c r="G34" i="51" s="1"/>
  <c r="H33" i="51"/>
  <c r="F33" i="51"/>
  <c r="E33" i="51"/>
  <c r="D33" i="51"/>
  <c r="C33" i="51"/>
  <c r="B33" i="51"/>
  <c r="H32" i="51"/>
  <c r="F32" i="51"/>
  <c r="E32" i="51"/>
  <c r="D32" i="51"/>
  <c r="C32" i="51"/>
  <c r="B32" i="51"/>
  <c r="H31" i="51"/>
  <c r="F31" i="51"/>
  <c r="E31" i="51"/>
  <c r="D31" i="51"/>
  <c r="C31" i="51"/>
  <c r="B31" i="51"/>
  <c r="H30" i="51"/>
  <c r="F30" i="51"/>
  <c r="E30" i="51"/>
  <c r="D30" i="51"/>
  <c r="C30" i="51"/>
  <c r="B30" i="51"/>
  <c r="H29" i="51"/>
  <c r="F29" i="51"/>
  <c r="E29" i="51"/>
  <c r="D29" i="51"/>
  <c r="C29" i="51"/>
  <c r="B29" i="51"/>
  <c r="G29" i="51" s="1"/>
  <c r="N25" i="51"/>
  <c r="M25" i="51"/>
  <c r="L25" i="51"/>
  <c r="K25" i="51"/>
  <c r="N24" i="51"/>
  <c r="M24" i="51"/>
  <c r="L24" i="51"/>
  <c r="K24" i="51"/>
  <c r="N23" i="51"/>
  <c r="M23" i="51"/>
  <c r="L23" i="51"/>
  <c r="K23" i="51"/>
  <c r="N22" i="51"/>
  <c r="M22" i="51"/>
  <c r="L22" i="51"/>
  <c r="K22" i="51"/>
  <c r="J22" i="51" s="1"/>
  <c r="N21" i="51"/>
  <c r="M21" i="51"/>
  <c r="L21" i="51"/>
  <c r="K21" i="51"/>
  <c r="J21" i="51" s="1"/>
  <c r="N20" i="51"/>
  <c r="M20" i="51"/>
  <c r="L20" i="51"/>
  <c r="K20" i="51"/>
  <c r="N19" i="51"/>
  <c r="M19" i="51"/>
  <c r="L19" i="51"/>
  <c r="K19" i="51"/>
  <c r="N18" i="51"/>
  <c r="M18" i="51"/>
  <c r="L18" i="51"/>
  <c r="K18" i="51"/>
  <c r="N17" i="51"/>
  <c r="M17" i="51"/>
  <c r="L17" i="51"/>
  <c r="K17" i="51"/>
  <c r="N16" i="51"/>
  <c r="M16" i="51"/>
  <c r="L16" i="51"/>
  <c r="K16" i="51"/>
  <c r="J16" i="51" s="1"/>
  <c r="H38" i="49"/>
  <c r="F38" i="49"/>
  <c r="E38" i="49"/>
  <c r="D38" i="49"/>
  <c r="C38" i="49"/>
  <c r="B38" i="49"/>
  <c r="G38" i="49" s="1"/>
  <c r="H37" i="49"/>
  <c r="F37" i="49"/>
  <c r="E37" i="49"/>
  <c r="D37" i="49"/>
  <c r="G37" i="49" s="1"/>
  <c r="C37" i="49"/>
  <c r="B37" i="49"/>
  <c r="H36" i="49"/>
  <c r="F36" i="49"/>
  <c r="E36" i="49"/>
  <c r="D36" i="49"/>
  <c r="C36" i="49"/>
  <c r="B36" i="49"/>
  <c r="G36" i="49" s="1"/>
  <c r="H35" i="49"/>
  <c r="G35" i="49"/>
  <c r="F35" i="49"/>
  <c r="E35" i="49"/>
  <c r="D35" i="49"/>
  <c r="C35" i="49"/>
  <c r="B35" i="49"/>
  <c r="H34" i="49"/>
  <c r="F34" i="49"/>
  <c r="E34" i="49"/>
  <c r="D34" i="49"/>
  <c r="C34" i="49"/>
  <c r="B34" i="49"/>
  <c r="G34" i="49" s="1"/>
  <c r="H33" i="49"/>
  <c r="F33" i="49"/>
  <c r="E33" i="49"/>
  <c r="D33" i="49"/>
  <c r="C33" i="49"/>
  <c r="B33" i="49"/>
  <c r="G33" i="49" s="1"/>
  <c r="H32" i="49"/>
  <c r="F32" i="49"/>
  <c r="E32" i="49"/>
  <c r="D32" i="49"/>
  <c r="C32" i="49"/>
  <c r="G32" i="49" s="1"/>
  <c r="B32" i="49"/>
  <c r="H31" i="49"/>
  <c r="F31" i="49"/>
  <c r="E31" i="49"/>
  <c r="D31" i="49"/>
  <c r="C31" i="49"/>
  <c r="B31" i="49"/>
  <c r="G31" i="49" s="1"/>
  <c r="H30" i="49"/>
  <c r="G30" i="49"/>
  <c r="F30" i="49"/>
  <c r="E30" i="49"/>
  <c r="D30" i="49"/>
  <c r="C30" i="49"/>
  <c r="B30" i="49"/>
  <c r="H29" i="49"/>
  <c r="F29" i="49"/>
  <c r="E29" i="49"/>
  <c r="D29" i="49"/>
  <c r="C29" i="49"/>
  <c r="B29" i="49"/>
  <c r="G29" i="49" s="1"/>
  <c r="N25" i="49"/>
  <c r="M25" i="49"/>
  <c r="L25" i="49"/>
  <c r="K25" i="49"/>
  <c r="J25" i="49" s="1"/>
  <c r="N24" i="49"/>
  <c r="M24" i="49"/>
  <c r="L24" i="49"/>
  <c r="K24" i="49"/>
  <c r="J24" i="49"/>
  <c r="N23" i="49"/>
  <c r="M23" i="49"/>
  <c r="L23" i="49"/>
  <c r="K23" i="49"/>
  <c r="J23" i="49" s="1"/>
  <c r="N22" i="49"/>
  <c r="M22" i="49"/>
  <c r="L22" i="49"/>
  <c r="K22" i="49"/>
  <c r="J22" i="49" s="1"/>
  <c r="N21" i="49"/>
  <c r="M21" i="49"/>
  <c r="L21" i="49"/>
  <c r="K21" i="49"/>
  <c r="J21" i="49"/>
  <c r="N20" i="49"/>
  <c r="M20" i="49"/>
  <c r="J20" i="49" s="1"/>
  <c r="L20" i="49"/>
  <c r="K20" i="49"/>
  <c r="N19" i="49"/>
  <c r="M19" i="49"/>
  <c r="L19" i="49"/>
  <c r="K19" i="49"/>
  <c r="J19" i="49"/>
  <c r="N18" i="49"/>
  <c r="M18" i="49"/>
  <c r="L18" i="49"/>
  <c r="K18" i="49"/>
  <c r="J18" i="49" s="1"/>
  <c r="N17" i="49"/>
  <c r="M17" i="49"/>
  <c r="L17" i="49"/>
  <c r="K17" i="49"/>
  <c r="J17" i="49" s="1"/>
  <c r="N16" i="49"/>
  <c r="M16" i="49"/>
  <c r="L16" i="49"/>
  <c r="K16" i="49"/>
  <c r="J16" i="49"/>
  <c r="H38" i="45"/>
  <c r="F38" i="45"/>
  <c r="E38" i="45"/>
  <c r="D38" i="45"/>
  <c r="C38" i="45"/>
  <c r="B38" i="45"/>
  <c r="H37" i="45"/>
  <c r="F37" i="45"/>
  <c r="E37" i="45"/>
  <c r="D37" i="45"/>
  <c r="C37" i="45"/>
  <c r="B37" i="45"/>
  <c r="G37" i="45" s="1"/>
  <c r="H36" i="45"/>
  <c r="F36" i="45"/>
  <c r="E36" i="45"/>
  <c r="D36" i="45"/>
  <c r="C36" i="45"/>
  <c r="B36" i="45"/>
  <c r="H35" i="45"/>
  <c r="F35" i="45"/>
  <c r="E35" i="45"/>
  <c r="D35" i="45"/>
  <c r="C35" i="45"/>
  <c r="B35" i="45"/>
  <c r="H34" i="45"/>
  <c r="F34" i="45"/>
  <c r="E34" i="45"/>
  <c r="D34" i="45"/>
  <c r="C34" i="45"/>
  <c r="B34" i="45"/>
  <c r="H33" i="45"/>
  <c r="F33" i="45"/>
  <c r="E33" i="45"/>
  <c r="D33" i="45"/>
  <c r="C33" i="45"/>
  <c r="B33" i="45"/>
  <c r="H32" i="45"/>
  <c r="F32" i="45"/>
  <c r="E32" i="45"/>
  <c r="D32" i="45"/>
  <c r="C32" i="45"/>
  <c r="B32" i="45"/>
  <c r="H31" i="45"/>
  <c r="F31" i="45"/>
  <c r="E31" i="45"/>
  <c r="D31" i="45"/>
  <c r="C31" i="45"/>
  <c r="B31" i="45"/>
  <c r="H30" i="45"/>
  <c r="F30" i="45"/>
  <c r="E30" i="45"/>
  <c r="D30" i="45"/>
  <c r="C30" i="45"/>
  <c r="B30" i="45"/>
  <c r="H29" i="45"/>
  <c r="F29" i="45"/>
  <c r="E29" i="45"/>
  <c r="D29" i="45"/>
  <c r="C29" i="45"/>
  <c r="B29" i="45"/>
  <c r="N25" i="45"/>
  <c r="M25" i="45"/>
  <c r="L25" i="45"/>
  <c r="K25" i="45"/>
  <c r="N24" i="45"/>
  <c r="M24" i="45"/>
  <c r="L24" i="45"/>
  <c r="K24" i="45"/>
  <c r="N23" i="45"/>
  <c r="M23" i="45"/>
  <c r="L23" i="45"/>
  <c r="K23" i="45"/>
  <c r="N22" i="45"/>
  <c r="M22" i="45"/>
  <c r="L22" i="45"/>
  <c r="K22" i="45"/>
  <c r="N21" i="45"/>
  <c r="M21" i="45"/>
  <c r="L21" i="45"/>
  <c r="K21" i="45"/>
  <c r="N20" i="45"/>
  <c r="M20" i="45"/>
  <c r="L20" i="45"/>
  <c r="K20" i="45"/>
  <c r="N19" i="45"/>
  <c r="M19" i="45"/>
  <c r="L19" i="45"/>
  <c r="K19" i="45"/>
  <c r="N18" i="45"/>
  <c r="M18" i="45"/>
  <c r="L18" i="45"/>
  <c r="K18" i="45"/>
  <c r="N17" i="45"/>
  <c r="M17" i="45"/>
  <c r="L17" i="45"/>
  <c r="K17" i="45"/>
  <c r="N16" i="45"/>
  <c r="M16" i="45"/>
  <c r="L16" i="45"/>
  <c r="K16" i="45"/>
  <c r="G32" i="53" l="1"/>
  <c r="J19" i="53"/>
  <c r="G34" i="53"/>
  <c r="G31" i="53"/>
  <c r="G38" i="53"/>
  <c r="G35" i="53"/>
  <c r="G33" i="53"/>
  <c r="J22" i="53"/>
  <c r="G36" i="53"/>
  <c r="J18" i="53"/>
  <c r="J17" i="53"/>
  <c r="J20" i="53"/>
  <c r="J21" i="53"/>
  <c r="J23" i="53"/>
  <c r="J25" i="45"/>
  <c r="G34" i="52"/>
  <c r="J19" i="52"/>
  <c r="G38" i="52"/>
  <c r="J21" i="52"/>
  <c r="G31" i="52"/>
  <c r="J22" i="52"/>
  <c r="G33" i="52"/>
  <c r="J24" i="52"/>
  <c r="G37" i="52"/>
  <c r="G35" i="52"/>
  <c r="J18" i="52"/>
  <c r="J20" i="52"/>
  <c r="G30" i="52"/>
  <c r="J17" i="52"/>
  <c r="G32" i="52"/>
  <c r="J25" i="52"/>
  <c r="G32" i="51"/>
  <c r="J18" i="51"/>
  <c r="G31" i="51"/>
  <c r="G33" i="51"/>
  <c r="J24" i="51"/>
  <c r="G36" i="51"/>
  <c r="J19" i="51"/>
  <c r="G38" i="51"/>
  <c r="J17" i="51"/>
  <c r="G37" i="51"/>
  <c r="J23" i="51"/>
  <c r="G35" i="51"/>
  <c r="J20" i="51"/>
  <c r="G30" i="51"/>
  <c r="J25" i="51"/>
  <c r="G34" i="45"/>
  <c r="J21" i="45"/>
  <c r="J19" i="45"/>
  <c r="G30" i="45"/>
  <c r="G35" i="45"/>
  <c r="G31" i="45"/>
  <c r="G32" i="45"/>
  <c r="J18" i="45"/>
  <c r="J23" i="45"/>
  <c r="G29" i="45"/>
  <c r="J20" i="45"/>
  <c r="G33" i="45"/>
  <c r="J16" i="45"/>
  <c r="G36" i="45"/>
  <c r="G38" i="45"/>
  <c r="J24" i="45"/>
  <c r="J22" i="45"/>
  <c r="J17" i="45"/>
  <c r="H38" i="43"/>
  <c r="F38" i="43"/>
  <c r="E38" i="43"/>
  <c r="D38" i="43"/>
  <c r="C38" i="43"/>
  <c r="B38" i="43"/>
  <c r="H37" i="43"/>
  <c r="F37" i="43"/>
  <c r="E37" i="43"/>
  <c r="D37" i="43"/>
  <c r="C37" i="43"/>
  <c r="B37" i="43"/>
  <c r="H36" i="43"/>
  <c r="F36" i="43"/>
  <c r="E36" i="43"/>
  <c r="D36" i="43"/>
  <c r="C36" i="43"/>
  <c r="B36" i="43"/>
  <c r="H35" i="43"/>
  <c r="F35" i="43"/>
  <c r="E35" i="43"/>
  <c r="D35" i="43"/>
  <c r="C35" i="43"/>
  <c r="B35" i="43"/>
  <c r="H34" i="43"/>
  <c r="F34" i="43"/>
  <c r="E34" i="43"/>
  <c r="D34" i="43"/>
  <c r="C34" i="43"/>
  <c r="B34" i="43"/>
  <c r="H33" i="43"/>
  <c r="F33" i="43"/>
  <c r="E33" i="43"/>
  <c r="D33" i="43"/>
  <c r="C33" i="43"/>
  <c r="B33" i="43"/>
  <c r="H32" i="43"/>
  <c r="F32" i="43"/>
  <c r="E32" i="43"/>
  <c r="D32" i="43"/>
  <c r="C32" i="43"/>
  <c r="B32" i="43"/>
  <c r="G32" i="43" s="1"/>
  <c r="H31" i="43"/>
  <c r="F31" i="43"/>
  <c r="E31" i="43"/>
  <c r="D31" i="43"/>
  <c r="C31" i="43"/>
  <c r="B31" i="43"/>
  <c r="G31" i="43" s="1"/>
  <c r="H30" i="43"/>
  <c r="F30" i="43"/>
  <c r="E30" i="43"/>
  <c r="D30" i="43"/>
  <c r="C30" i="43"/>
  <c r="B30" i="43"/>
  <c r="H29" i="43"/>
  <c r="F29" i="43"/>
  <c r="E29" i="43"/>
  <c r="D29" i="43"/>
  <c r="C29" i="43"/>
  <c r="B29" i="43"/>
  <c r="N25" i="43"/>
  <c r="M25" i="43"/>
  <c r="L25" i="43"/>
  <c r="K25" i="43"/>
  <c r="N24" i="43"/>
  <c r="M24" i="43"/>
  <c r="L24" i="43"/>
  <c r="K24" i="43"/>
  <c r="N23" i="43"/>
  <c r="M23" i="43"/>
  <c r="L23" i="43"/>
  <c r="K23" i="43"/>
  <c r="N22" i="43"/>
  <c r="M22" i="43"/>
  <c r="L22" i="43"/>
  <c r="K22" i="43"/>
  <c r="N21" i="43"/>
  <c r="M21" i="43"/>
  <c r="L21" i="43"/>
  <c r="K21" i="43"/>
  <c r="N20" i="43"/>
  <c r="M20" i="43"/>
  <c r="L20" i="43"/>
  <c r="K20" i="43"/>
  <c r="N19" i="43"/>
  <c r="M19" i="43"/>
  <c r="L19" i="43"/>
  <c r="K19" i="43"/>
  <c r="N18" i="43"/>
  <c r="M18" i="43"/>
  <c r="L18" i="43"/>
  <c r="K18" i="43"/>
  <c r="N17" i="43"/>
  <c r="M17" i="43"/>
  <c r="L17" i="43"/>
  <c r="K17" i="43"/>
  <c r="N16" i="43"/>
  <c r="M16" i="43"/>
  <c r="L16" i="43"/>
  <c r="K16" i="43"/>
  <c r="E29" i="41"/>
  <c r="F29" i="41"/>
  <c r="H38" i="41"/>
  <c r="F38" i="41"/>
  <c r="E38" i="41"/>
  <c r="D38" i="41"/>
  <c r="C38" i="41"/>
  <c r="B38" i="41"/>
  <c r="H37" i="41"/>
  <c r="F37" i="41"/>
  <c r="E37" i="41"/>
  <c r="D37" i="41"/>
  <c r="C37" i="41"/>
  <c r="B37" i="41"/>
  <c r="H36" i="41"/>
  <c r="F36" i="41"/>
  <c r="E36" i="41"/>
  <c r="D36" i="41"/>
  <c r="C36" i="41"/>
  <c r="B36" i="41"/>
  <c r="H35" i="41"/>
  <c r="F35" i="41"/>
  <c r="E35" i="41"/>
  <c r="D35" i="41"/>
  <c r="C35" i="41"/>
  <c r="B35" i="41"/>
  <c r="G35" i="41" s="1"/>
  <c r="H34" i="41"/>
  <c r="F34" i="41"/>
  <c r="E34" i="41"/>
  <c r="D34" i="41"/>
  <c r="C34" i="41"/>
  <c r="B34" i="41"/>
  <c r="H33" i="41"/>
  <c r="F33" i="41"/>
  <c r="E33" i="41"/>
  <c r="D33" i="41"/>
  <c r="C33" i="41"/>
  <c r="B33" i="41"/>
  <c r="H32" i="41"/>
  <c r="F32" i="41"/>
  <c r="E32" i="41"/>
  <c r="D32" i="41"/>
  <c r="C32" i="41"/>
  <c r="B32" i="41"/>
  <c r="H31" i="41"/>
  <c r="F31" i="41"/>
  <c r="E31" i="41"/>
  <c r="D31" i="41"/>
  <c r="C31" i="41"/>
  <c r="B31" i="41"/>
  <c r="H30" i="41"/>
  <c r="F30" i="41"/>
  <c r="E30" i="41"/>
  <c r="D30" i="41"/>
  <c r="C30" i="41"/>
  <c r="B30" i="41"/>
  <c r="H29" i="41"/>
  <c r="D29" i="41"/>
  <c r="C29" i="41"/>
  <c r="B29" i="41"/>
  <c r="N25" i="41"/>
  <c r="M25" i="41"/>
  <c r="L25" i="41"/>
  <c r="K25" i="41"/>
  <c r="N24" i="41"/>
  <c r="M24" i="41"/>
  <c r="L24" i="41"/>
  <c r="K24" i="41"/>
  <c r="N23" i="41"/>
  <c r="M23" i="41"/>
  <c r="L23" i="41"/>
  <c r="K23" i="41"/>
  <c r="N22" i="41"/>
  <c r="M22" i="41"/>
  <c r="L22" i="41"/>
  <c r="K22" i="41"/>
  <c r="J22" i="41" s="1"/>
  <c r="N21" i="41"/>
  <c r="M21" i="41"/>
  <c r="L21" i="41"/>
  <c r="K21" i="41"/>
  <c r="N20" i="41"/>
  <c r="M20" i="41"/>
  <c r="L20" i="41"/>
  <c r="K20" i="41"/>
  <c r="N19" i="41"/>
  <c r="M19" i="41"/>
  <c r="L19" i="41"/>
  <c r="K19" i="41"/>
  <c r="N18" i="41"/>
  <c r="M18" i="41"/>
  <c r="L18" i="41"/>
  <c r="K18" i="41"/>
  <c r="N17" i="41"/>
  <c r="M17" i="41"/>
  <c r="L17" i="41"/>
  <c r="K17" i="41"/>
  <c r="N16" i="41"/>
  <c r="M16" i="41"/>
  <c r="L16" i="41"/>
  <c r="K16" i="41"/>
  <c r="H32" i="40"/>
  <c r="H38" i="40"/>
  <c r="F38" i="40"/>
  <c r="E38" i="40"/>
  <c r="D38" i="40"/>
  <c r="C38" i="40"/>
  <c r="B38" i="40"/>
  <c r="H37" i="40"/>
  <c r="F37" i="40"/>
  <c r="E37" i="40"/>
  <c r="D37" i="40"/>
  <c r="C37" i="40"/>
  <c r="B37" i="40"/>
  <c r="G37" i="40" s="1"/>
  <c r="H36" i="40"/>
  <c r="F36" i="40"/>
  <c r="E36" i="40"/>
  <c r="D36" i="40"/>
  <c r="C36" i="40"/>
  <c r="B36" i="40"/>
  <c r="H35" i="40"/>
  <c r="F35" i="40"/>
  <c r="E35" i="40"/>
  <c r="D35" i="40"/>
  <c r="C35" i="40"/>
  <c r="B35" i="40"/>
  <c r="G35" i="40" s="1"/>
  <c r="H34" i="40"/>
  <c r="F34" i="40"/>
  <c r="E34" i="40"/>
  <c r="D34" i="40"/>
  <c r="C34" i="40"/>
  <c r="B34" i="40"/>
  <c r="H33" i="40"/>
  <c r="F33" i="40"/>
  <c r="E33" i="40"/>
  <c r="D33" i="40"/>
  <c r="C33" i="40"/>
  <c r="B33" i="40"/>
  <c r="F32" i="40"/>
  <c r="E32" i="40"/>
  <c r="D32" i="40"/>
  <c r="C32" i="40"/>
  <c r="B32" i="40"/>
  <c r="H31" i="40"/>
  <c r="F31" i="40"/>
  <c r="E31" i="40"/>
  <c r="D31" i="40"/>
  <c r="C31" i="40"/>
  <c r="B31" i="40"/>
  <c r="H30" i="40"/>
  <c r="F30" i="40"/>
  <c r="E30" i="40"/>
  <c r="D30" i="40"/>
  <c r="C30" i="40"/>
  <c r="B30" i="40"/>
  <c r="G30" i="40" s="1"/>
  <c r="H29" i="40"/>
  <c r="D29" i="40"/>
  <c r="C29" i="40"/>
  <c r="B29" i="40"/>
  <c r="N25" i="40"/>
  <c r="M25" i="40"/>
  <c r="L25" i="40"/>
  <c r="K25" i="40"/>
  <c r="N24" i="40"/>
  <c r="M24" i="40"/>
  <c r="L24" i="40"/>
  <c r="K24" i="40"/>
  <c r="N23" i="40"/>
  <c r="M23" i="40"/>
  <c r="L23" i="40"/>
  <c r="K23" i="40"/>
  <c r="N22" i="40"/>
  <c r="M22" i="40"/>
  <c r="L22" i="40"/>
  <c r="K22" i="40"/>
  <c r="N21" i="40"/>
  <c r="M21" i="40"/>
  <c r="L21" i="40"/>
  <c r="K21" i="40"/>
  <c r="N20" i="40"/>
  <c r="M20" i="40"/>
  <c r="L20" i="40"/>
  <c r="K20" i="40"/>
  <c r="N19" i="40"/>
  <c r="M19" i="40"/>
  <c r="L19" i="40"/>
  <c r="K19" i="40"/>
  <c r="N18" i="40"/>
  <c r="M18" i="40"/>
  <c r="L18" i="40"/>
  <c r="K18" i="40"/>
  <c r="N17" i="40"/>
  <c r="M17" i="40"/>
  <c r="L17" i="40"/>
  <c r="K17" i="40"/>
  <c r="N16" i="40"/>
  <c r="M16" i="40"/>
  <c r="L16" i="40"/>
  <c r="K16" i="40"/>
  <c r="H36" i="39"/>
  <c r="F30" i="39"/>
  <c r="G30" i="39" s="1"/>
  <c r="F31" i="39"/>
  <c r="F32" i="39"/>
  <c r="G32" i="39" s="1"/>
  <c r="F33" i="39"/>
  <c r="F34" i="39"/>
  <c r="G34" i="39" s="1"/>
  <c r="F35" i="39"/>
  <c r="F36" i="39"/>
  <c r="G36" i="39" s="1"/>
  <c r="F37" i="39"/>
  <c r="G37" i="39" s="1"/>
  <c r="F38" i="39"/>
  <c r="G38" i="39" s="1"/>
  <c r="E31" i="39"/>
  <c r="E32" i="39"/>
  <c r="E33" i="39"/>
  <c r="G33" i="39" s="1"/>
  <c r="E34" i="39"/>
  <c r="E35" i="39"/>
  <c r="E36" i="39"/>
  <c r="E37" i="39"/>
  <c r="E38" i="39"/>
  <c r="G31" i="39"/>
  <c r="G35" i="39"/>
  <c r="G29" i="39"/>
  <c r="E30" i="39"/>
  <c r="D30" i="39"/>
  <c r="D31" i="39"/>
  <c r="D32" i="39"/>
  <c r="D33" i="39"/>
  <c r="D34" i="39"/>
  <c r="D35" i="39"/>
  <c r="D36" i="39"/>
  <c r="D37" i="39"/>
  <c r="D38" i="39"/>
  <c r="C30" i="39"/>
  <c r="C31" i="39"/>
  <c r="C32" i="39"/>
  <c r="C33" i="39"/>
  <c r="C34" i="39"/>
  <c r="C35" i="39"/>
  <c r="C36" i="39"/>
  <c r="C37" i="39"/>
  <c r="C38" i="39"/>
  <c r="B30" i="39"/>
  <c r="B31" i="39"/>
  <c r="B32" i="39"/>
  <c r="B33" i="39"/>
  <c r="B34" i="39"/>
  <c r="B35" i="39"/>
  <c r="B36" i="39"/>
  <c r="B37" i="39"/>
  <c r="B38" i="39"/>
  <c r="D29" i="39"/>
  <c r="C29" i="39"/>
  <c r="B29" i="39"/>
  <c r="K16" i="39"/>
  <c r="H28" i="39"/>
  <c r="H30" i="39"/>
  <c r="H31" i="39"/>
  <c r="H32" i="39"/>
  <c r="H33" i="39"/>
  <c r="H34" i="39"/>
  <c r="H35" i="39"/>
  <c r="H37" i="39"/>
  <c r="H38" i="39"/>
  <c r="H29" i="39"/>
  <c r="G35" i="43" l="1"/>
  <c r="J16" i="43"/>
  <c r="G36" i="43"/>
  <c r="J23" i="43"/>
  <c r="J19" i="43"/>
  <c r="J17" i="43"/>
  <c r="J18" i="43"/>
  <c r="G37" i="43"/>
  <c r="J21" i="43"/>
  <c r="J24" i="43"/>
  <c r="J20" i="43"/>
  <c r="G33" i="43"/>
  <c r="G29" i="43"/>
  <c r="G38" i="43"/>
  <c r="J25" i="43"/>
  <c r="J22" i="43"/>
  <c r="G34" i="43"/>
  <c r="G30" i="43"/>
  <c r="J25" i="41"/>
  <c r="G29" i="41"/>
  <c r="G37" i="41"/>
  <c r="G30" i="41"/>
  <c r="G36" i="41"/>
  <c r="G38" i="41"/>
  <c r="G33" i="41"/>
  <c r="J20" i="41"/>
  <c r="G32" i="41"/>
  <c r="J19" i="41"/>
  <c r="J24" i="41"/>
  <c r="J18" i="41"/>
  <c r="G31" i="41"/>
  <c r="J16" i="41"/>
  <c r="J17" i="41"/>
  <c r="J21" i="41"/>
  <c r="J23" i="41"/>
  <c r="G34" i="41"/>
  <c r="G38" i="40"/>
  <c r="J20" i="40"/>
  <c r="G33" i="40"/>
  <c r="J25" i="40"/>
  <c r="J17" i="40"/>
  <c r="J23" i="40"/>
  <c r="J24" i="40"/>
  <c r="G34" i="40"/>
  <c r="J18" i="40"/>
  <c r="G36" i="40"/>
  <c r="J22" i="40"/>
  <c r="J21" i="40"/>
  <c r="J19" i="40"/>
  <c r="G32" i="40"/>
  <c r="G31" i="40"/>
  <c r="J16" i="40"/>
  <c r="G29" i="40"/>
  <c r="L18" i="39"/>
  <c r="M18" i="39"/>
  <c r="N18" i="39"/>
  <c r="L19" i="39"/>
  <c r="M19" i="39"/>
  <c r="N19" i="39"/>
  <c r="L20" i="39"/>
  <c r="M20" i="39"/>
  <c r="N20" i="39"/>
  <c r="L21" i="39"/>
  <c r="M21" i="39"/>
  <c r="N21" i="39"/>
  <c r="L22" i="39"/>
  <c r="M22" i="39"/>
  <c r="N22" i="39"/>
  <c r="L23" i="39"/>
  <c r="M23" i="39"/>
  <c r="N23" i="39"/>
  <c r="L24" i="39"/>
  <c r="M24" i="39"/>
  <c r="N24" i="39"/>
  <c r="L25" i="39"/>
  <c r="M25" i="39"/>
  <c r="N25" i="39"/>
  <c r="K25" i="39"/>
  <c r="K24" i="39"/>
  <c r="K23" i="39"/>
  <c r="K22" i="39"/>
  <c r="K21" i="39"/>
  <c r="K20" i="39"/>
  <c r="K19" i="39"/>
  <c r="K18" i="39"/>
  <c r="L17" i="39"/>
  <c r="M17" i="39"/>
  <c r="N17" i="39"/>
  <c r="K17" i="39"/>
  <c r="L16" i="39"/>
  <c r="M16" i="39"/>
  <c r="N16" i="39"/>
  <c r="J23" i="39" l="1"/>
  <c r="J24" i="39"/>
  <c r="J19" i="39"/>
  <c r="J22" i="39"/>
  <c r="J16" i="39"/>
  <c r="J18" i="39"/>
  <c r="J21" i="39"/>
  <c r="J20" i="39"/>
  <c r="J25" i="39"/>
  <c r="J17" i="39"/>
</calcChain>
</file>

<file path=xl/comments1.xml><?xml version="1.0" encoding="utf-8"?>
<comments xmlns="http://schemas.openxmlformats.org/spreadsheetml/2006/main">
  <authors>
    <author>tc={E8ABC1AD-BDBA-4F50-9F94-DAF50EA48223}</author>
  </authors>
  <commentList>
    <comment ref="K8" authorId="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</commentList>
</comments>
</file>

<file path=xl/comments2.xml><?xml version="1.0" encoding="utf-8"?>
<comments xmlns="http://schemas.openxmlformats.org/spreadsheetml/2006/main">
  <authors>
    <author>tc={A5D0D4C2-AD84-457E-911E-1CAB365A2126}</author>
    <author>tc={6743AAC8-01A1-491B-8174-A1FB832B15B1}</author>
  </authors>
  <commentList>
    <comment ref="J8" authorId="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  <comment ref="K8" authorId="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</commentList>
</comments>
</file>

<file path=xl/comments3.xml><?xml version="1.0" encoding="utf-8"?>
<comments xmlns="http://schemas.openxmlformats.org/spreadsheetml/2006/main">
  <authors>
    <author>tc={F25A204B-52C6-4850-ADD5-5B7BD2D3A32D}</author>
    <author>tc={AD3A3DC0-7D35-4B55-ABC2-BAA7A84147E1}</author>
  </authors>
  <commentList>
    <comment ref="J8" authorId="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  <comment ref="K8" authorId="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</commentList>
</comments>
</file>

<file path=xl/comments4.xml><?xml version="1.0" encoding="utf-8"?>
<comments xmlns="http://schemas.openxmlformats.org/spreadsheetml/2006/main">
  <authors>
    <author>tc={D0C4B5EC-DF50-4AB7-AA7F-AAC3C0669545}</author>
    <author>tc={F729397B-B7A6-4829-8076-38C7728E53C3}</author>
  </authors>
  <commentList>
    <comment ref="J8" authorId="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  <comment ref="K8" authorId="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</commentList>
</comments>
</file>

<file path=xl/comments5.xml><?xml version="1.0" encoding="utf-8"?>
<comments xmlns="http://schemas.openxmlformats.org/spreadsheetml/2006/main">
  <authors>
    <author>tc={ED6875E9-F6A5-4E29-BE0C-BA484DC4A5D2}</author>
    <author>tc={A5FE2FB1-795E-491A-AB03-CEDF72B1B60E}</author>
  </authors>
  <commentList>
    <comment ref="J8" authorId="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  <comment ref="K8" authorId="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</commentList>
</comments>
</file>

<file path=xl/comments6.xml><?xml version="1.0" encoding="utf-8"?>
<comments xmlns="http://schemas.openxmlformats.org/spreadsheetml/2006/main">
  <authors>
    <author>tc={C9D04906-D913-400F-AFF7-8C82B49D6A63}</author>
    <author>tc={EB4032F3-BDC7-4633-A184-38679B3E9512}</author>
  </authors>
  <commentList>
    <comment ref="J8" authorId="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  <comment ref="K8" authorId="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</commentList>
</comments>
</file>

<file path=xl/comments7.xml><?xml version="1.0" encoding="utf-8"?>
<comments xmlns="http://schemas.openxmlformats.org/spreadsheetml/2006/main">
  <authors>
    <author>tc={D904A939-B44C-4EF7-A66F-95802E834E5F}</author>
    <author>tc={07B677D2-F6D6-48D0-B7FF-D8C1179AD4C2}</author>
  </authors>
  <commentList>
    <comment ref="J8" authorId="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  <comment ref="K8" authorId="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</commentList>
</comments>
</file>

<file path=xl/comments8.xml><?xml version="1.0" encoding="utf-8"?>
<comments xmlns="http://schemas.openxmlformats.org/spreadsheetml/2006/main">
  <authors>
    <author>tc={AF985B2F-EFB1-4037-9CB6-F6817C5F3070}</author>
    <author>tc={2A1B3E75-A7BC-4149-8A7C-E47C965715EE}</author>
  </authors>
  <commentList>
    <comment ref="J8" authorId="0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  <comment ref="K8" authorId="1" shape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Veículo em revisão</t>
        </r>
      </text>
    </comment>
  </commentList>
</comments>
</file>

<file path=xl/sharedStrings.xml><?xml version="1.0" encoding="utf-8"?>
<sst xmlns="http://schemas.openxmlformats.org/spreadsheetml/2006/main" count="6926" uniqueCount="377">
  <si>
    <t xml:space="preserve">CONTROLE DE KM - COORDENAÇÃO CIARA ZANELATO </t>
  </si>
  <si>
    <t xml:space="preserve">Veículos Cadastrados </t>
  </si>
  <si>
    <t>Tipo</t>
  </si>
  <si>
    <t xml:space="preserve">Modelos </t>
  </si>
  <si>
    <t>Tag</t>
  </si>
  <si>
    <t>Locadora</t>
  </si>
  <si>
    <t>Localidade</t>
  </si>
  <si>
    <t>Placa</t>
  </si>
  <si>
    <t>SSO</t>
  </si>
  <si>
    <t>Condutores</t>
  </si>
  <si>
    <t>SEMANA 02</t>
  </si>
  <si>
    <t>KM ANTERIOR</t>
  </si>
  <si>
    <t>KM  ATUAL</t>
  </si>
  <si>
    <t xml:space="preserve">Validade </t>
  </si>
  <si>
    <t>Caminhonete</t>
  </si>
  <si>
    <t>CHEVROLET S10</t>
  </si>
  <si>
    <t>TN 29</t>
  </si>
  <si>
    <t>Sonda</t>
  </si>
  <si>
    <t>CKS</t>
  </si>
  <si>
    <t>FXR0F35</t>
  </si>
  <si>
    <t>CARAJÁS</t>
  </si>
  <si>
    <t>JOÃO TAVARES</t>
  </si>
  <si>
    <t xml:space="preserve">L200 - Triton </t>
  </si>
  <si>
    <t>TN 31</t>
  </si>
  <si>
    <t>SINAL</t>
  </si>
  <si>
    <t>RXG6G10</t>
  </si>
  <si>
    <t>CELIMARIO</t>
  </si>
  <si>
    <t xml:space="preserve">FORD RANGER </t>
  </si>
  <si>
    <t>TN 72</t>
  </si>
  <si>
    <t>FXD9A18</t>
  </si>
  <si>
    <t>RAIMUNDO CHARLES</t>
  </si>
  <si>
    <t>NISSAN FRONTIER</t>
  </si>
  <si>
    <t>TN 03</t>
  </si>
  <si>
    <t>RXD1B51</t>
  </si>
  <si>
    <t>VALE</t>
  </si>
  <si>
    <t>Veículo Leve</t>
  </si>
  <si>
    <t>JEEP RENEGADE</t>
  </si>
  <si>
    <t>TN 02</t>
  </si>
  <si>
    <t>LOCALIZA</t>
  </si>
  <si>
    <t>SHN4H64</t>
  </si>
  <si>
    <t xml:space="preserve">MELQUISEDEC </t>
  </si>
  <si>
    <t>TN 74</t>
  </si>
  <si>
    <t>RXD1B11</t>
  </si>
  <si>
    <t>ERICK DA MATTA</t>
  </si>
  <si>
    <t>TN 75</t>
  </si>
  <si>
    <t>RXB4A21</t>
  </si>
  <si>
    <t>JANDERSON COSTA</t>
  </si>
  <si>
    <t>TN 76</t>
  </si>
  <si>
    <t>RXD0C41</t>
  </si>
  <si>
    <t>TN 04</t>
  </si>
  <si>
    <t>RXG2A49</t>
  </si>
  <si>
    <t>RENATO RAMALHO</t>
  </si>
  <si>
    <t>TN 73</t>
  </si>
  <si>
    <t>RXC2D41</t>
  </si>
  <si>
    <t>WALDECYR CICERO</t>
  </si>
  <si>
    <t>Veículos - Novos Cadastros</t>
  </si>
  <si>
    <t>SEMANA 01</t>
  </si>
  <si>
    <t xml:space="preserve">KM  </t>
  </si>
  <si>
    <t>Manutenção</t>
  </si>
  <si>
    <t xml:space="preserve">Esta no lavador </t>
  </si>
  <si>
    <t xml:space="preserve">veiculo em Manutenção  </t>
  </si>
  <si>
    <t>Manutencao</t>
  </si>
  <si>
    <t xml:space="preserve"> Carro em Manutenção desde :10/01</t>
  </si>
  <si>
    <t>veiculo em Manutenção desde 09/01</t>
  </si>
  <si>
    <t>Ultima lavagem</t>
  </si>
  <si>
    <t>Prox. Lavagem</t>
  </si>
  <si>
    <t>Lucas</t>
  </si>
  <si>
    <t>Ciara</t>
  </si>
  <si>
    <t>ERICK</t>
  </si>
  <si>
    <t>WERIKLIS</t>
  </si>
  <si>
    <t>WILLIAN FERNANDO</t>
  </si>
  <si>
    <t>ROSIVALDO</t>
  </si>
  <si>
    <r>
      <rPr>
        <b/>
        <sz val="11"/>
        <color theme="1"/>
        <rFont val="Calibri"/>
        <family val="2"/>
        <scheme val="minor"/>
      </rPr>
      <t>TN 03 ÚNICO CARRO CAS</t>
    </r>
    <r>
      <rPr>
        <sz val="11"/>
        <color theme="1"/>
        <rFont val="Calibri"/>
        <family val="2"/>
        <scheme val="minor"/>
      </rPr>
      <t xml:space="preserve"> DISPONIVEL PRA MINA </t>
    </r>
  </si>
  <si>
    <t>TN 04 DEVOLVIDA PRA SINAL 13/02/2025</t>
  </si>
  <si>
    <t>TN 02 DEVOLVIDA PRA LOCALIZA 07/02/2025</t>
  </si>
  <si>
    <t>correção de telemetria dia 24/02</t>
  </si>
  <si>
    <t>Lavagem</t>
  </si>
  <si>
    <t>WEMERSON SILVA</t>
  </si>
  <si>
    <t>RENAN DEMETRIO</t>
  </si>
  <si>
    <t>RAFAEL Cruz</t>
  </si>
  <si>
    <t>Manutenção  data 30/01</t>
  </si>
  <si>
    <t>Manutenção  28/01</t>
  </si>
  <si>
    <t>x/02/2025</t>
  </si>
  <si>
    <t xml:space="preserve"> Veiculo em manutenção desde de 28/01/2025</t>
  </si>
  <si>
    <t>manutenção</t>
  </si>
  <si>
    <t>Manutenção desde dia 28/01/2025</t>
  </si>
  <si>
    <t>Liberado dia 08/02</t>
  </si>
  <si>
    <t>Manutenção desde dia 06/02/2025</t>
  </si>
  <si>
    <t>Liberado dia 10/02</t>
  </si>
  <si>
    <r>
      <rPr>
        <b/>
        <sz val="11"/>
        <color theme="1"/>
        <rFont val="Calibri"/>
        <family val="2"/>
        <scheme val="minor"/>
      </rPr>
      <t>TN 74</t>
    </r>
    <r>
      <rPr>
        <sz val="11"/>
        <color theme="1"/>
        <rFont val="Calibri"/>
        <family val="2"/>
        <scheme val="minor"/>
      </rPr>
      <t xml:space="preserve"> em manutenção</t>
    </r>
  </si>
  <si>
    <t>TN 31 e TN 76 necessita balizar telemetria</t>
  </si>
  <si>
    <t>Ederson</t>
  </si>
  <si>
    <t>HILLUX</t>
  </si>
  <si>
    <t>TDM2E37</t>
  </si>
  <si>
    <t>MATHEUS</t>
  </si>
  <si>
    <r>
      <rPr>
        <b/>
        <sz val="11"/>
        <color theme="1"/>
        <rFont val="Calibri"/>
        <family val="2"/>
        <scheme val="minor"/>
      </rPr>
      <t>TN 75</t>
    </r>
    <r>
      <rPr>
        <sz val="11"/>
        <color theme="1"/>
        <rFont val="Calibri"/>
        <family val="2"/>
        <scheme val="minor"/>
      </rPr>
      <t xml:space="preserve"> em manutenção</t>
    </r>
  </si>
  <si>
    <t>Leve</t>
  </si>
  <si>
    <t>Tracker</t>
  </si>
  <si>
    <t>TN 01</t>
  </si>
  <si>
    <t>Localiza</t>
  </si>
  <si>
    <t>TCO2C15</t>
  </si>
  <si>
    <t>Fabricio Maia</t>
  </si>
  <si>
    <t>TN 72 desceu pra manutenção 21/03</t>
  </si>
  <si>
    <t>lavagem programada S-1</t>
  </si>
  <si>
    <t>28/03/2025 - pendente</t>
  </si>
  <si>
    <t>24/03 -28/03 - ok</t>
  </si>
  <si>
    <t>24/03 - 26/03 ok</t>
  </si>
  <si>
    <t>24/03/2025 - pendente</t>
  </si>
  <si>
    <t>25/03/2025 - pendente</t>
  </si>
  <si>
    <t>26/03/2025 - pendente</t>
  </si>
  <si>
    <t>TN 73 manutenção</t>
  </si>
  <si>
    <r>
      <t xml:space="preserve">TN 31 e TN 76 </t>
    </r>
    <r>
      <rPr>
        <sz val="11"/>
        <color theme="1"/>
        <rFont val="Calibri"/>
        <family val="2"/>
        <scheme val="minor"/>
      </rPr>
      <t>necessita balizar telemetria</t>
    </r>
  </si>
  <si>
    <t>TN 72 voltou pra operação segunda feira</t>
  </si>
  <si>
    <r>
      <t xml:space="preserve">TN 31/ TN 03/ TN 75 / TN 04 </t>
    </r>
    <r>
      <rPr>
        <sz val="11"/>
        <color theme="1"/>
        <rFont val="Calibri"/>
        <family val="2"/>
        <scheme val="minor"/>
      </rPr>
      <t>não foram lavadas devido a mudança do contrato do lavador, lavagem reprogramada para dia 28/03 e 29/03</t>
    </r>
  </si>
  <si>
    <t>04/04 - 01/04 - ok</t>
  </si>
  <si>
    <t>04/04 - Pendente</t>
  </si>
  <si>
    <t>02/04 - pendente</t>
  </si>
  <si>
    <t>02/04 - 03/04 - ok</t>
  </si>
  <si>
    <t>04/04 - 03/04 - ok</t>
  </si>
  <si>
    <t>31/03 - pendente</t>
  </si>
  <si>
    <t>pendente</t>
  </si>
  <si>
    <t>04/04 - 28/03 - ok</t>
  </si>
  <si>
    <r>
      <t xml:space="preserve">TN 76/ TN 72/ TN 31 / TN 04 </t>
    </r>
    <r>
      <rPr>
        <sz val="11"/>
        <color rgb="FF000000"/>
        <rFont val="Calibri"/>
        <family val="2"/>
        <scheme val="minor"/>
      </rPr>
      <t>não foram lavadas devido a mudança do contrato do lavador, lavagem reprogramada para prox semana</t>
    </r>
    <r>
      <rPr>
        <b/>
        <sz val="11"/>
        <color rgb="FF000000"/>
        <rFont val="Calibri"/>
        <family val="2"/>
        <scheme val="minor"/>
      </rPr>
      <t>. Lavador do núcleo voltou a atender dia 03/04</t>
    </r>
  </si>
  <si>
    <r>
      <t xml:space="preserve">TN 31 e TN 76 </t>
    </r>
    <r>
      <rPr>
        <sz val="11"/>
        <color rgb="FF000000"/>
        <rFont val="Calibri"/>
        <family val="2"/>
        <scheme val="minor"/>
      </rPr>
      <t>necessita balizar telemetria</t>
    </r>
  </si>
  <si>
    <t>TN31-RXG6G10  SUBSTITUIDA POR - TN31 - TCD7I68</t>
  </si>
  <si>
    <t>SEMANA 03</t>
  </si>
  <si>
    <t>Hillux</t>
  </si>
  <si>
    <t>TCD7168</t>
  </si>
  <si>
    <t> </t>
  </si>
  <si>
    <t xml:space="preserve">Rafael </t>
  </si>
  <si>
    <t>15/04 - 15/04 - ok</t>
  </si>
  <si>
    <t>16/04 - 17/04 ok</t>
  </si>
  <si>
    <t>William</t>
  </si>
  <si>
    <t>TN 31 em mobilização</t>
  </si>
  <si>
    <t>TN 31 devolvido a SINAL</t>
  </si>
  <si>
    <t>TN 01 em mobilização</t>
  </si>
  <si>
    <t>TN 29 em manutenção desde 10/04</t>
  </si>
  <si>
    <t>SEMANA 04</t>
  </si>
  <si>
    <t>22/04 - 25/04 - ok</t>
  </si>
  <si>
    <t>TCD7H75</t>
  </si>
  <si>
    <t>-</t>
  </si>
  <si>
    <t>22/04 - 22/04 - ok</t>
  </si>
  <si>
    <t>24/04 - 25- 04 - ok</t>
  </si>
  <si>
    <t>24/04 - 21/04 - ok</t>
  </si>
  <si>
    <t>25/04 - 25/04 - ok</t>
  </si>
  <si>
    <t>TN 29 unico veiculo com escada disponivel, não pode ser lavado</t>
  </si>
  <si>
    <t>TN 72, manutenção desde 25/04</t>
  </si>
  <si>
    <t>TN 03 substituida e esta em mobilização</t>
  </si>
  <si>
    <t>15/05 - 13/05 - ok</t>
  </si>
  <si>
    <t>12/05 - 15/05 - ok</t>
  </si>
  <si>
    <t>SEMANA 05</t>
  </si>
  <si>
    <t>29/04 - 29/04 - ok</t>
  </si>
  <si>
    <t>28/04 - 30/04 - ok</t>
  </si>
  <si>
    <t>30/04 - 30/04 - ok</t>
  </si>
  <si>
    <t>sera levada durante o feriado</t>
  </si>
  <si>
    <t>28/05 - 30/05 - ok</t>
  </si>
  <si>
    <t>TN 73 Necessita mobilizar novamente</t>
  </si>
  <si>
    <t>07/05 - 07/05 - ok</t>
  </si>
  <si>
    <t>04/05 - 07/05 - ok</t>
  </si>
  <si>
    <t>01/05 - 01/05 ok</t>
  </si>
  <si>
    <t>07/05 - 05/05 - ok</t>
  </si>
  <si>
    <t>TN 73 Pendente plano de transito</t>
  </si>
  <si>
    <t>TCD7I65</t>
  </si>
  <si>
    <t>Renan</t>
  </si>
  <si>
    <t>Ranger</t>
  </si>
  <si>
    <t>SONDA</t>
  </si>
  <si>
    <t>RDM2E33</t>
  </si>
  <si>
    <t>TCD7H73</t>
  </si>
  <si>
    <t>TN78</t>
  </si>
  <si>
    <t xml:space="preserve">FZY4F28 </t>
  </si>
  <si>
    <t xml:space="preserve"> 90 862</t>
  </si>
  <si>
    <t>TN74, TN73, TN78 E TN76 são os veiculos novos, todos limpos.</t>
  </si>
  <si>
    <t>TN 04 em manutenção</t>
  </si>
  <si>
    <t>TN 75 em desmobilização</t>
  </si>
  <si>
    <t>TN 29 não foi lavado devido periodo de substituição da 79</t>
  </si>
  <si>
    <t>30/05 - 28/05 ok</t>
  </si>
  <si>
    <t>TCD7I68</t>
  </si>
  <si>
    <t>26/05 - 28/05 ok</t>
  </si>
  <si>
    <t>28/05 - 27/05 ok</t>
  </si>
  <si>
    <t>27/05 - 28/05 ok</t>
  </si>
  <si>
    <t>TCD7H72</t>
  </si>
  <si>
    <t>27/05 - 26/05 ok</t>
  </si>
  <si>
    <t>23/05 - 21/05 ok</t>
  </si>
  <si>
    <t>30/05 - 30/05 ok</t>
  </si>
  <si>
    <t>01/06 - 01/06 - OK</t>
  </si>
  <si>
    <t>31/05 - 01/06 - OK</t>
  </si>
  <si>
    <t>07/06 - 07/06 - ok</t>
  </si>
  <si>
    <t>13/06 - 10/06 - OK</t>
  </si>
  <si>
    <t>07/06 - 08/06 - OK</t>
  </si>
  <si>
    <t>12/06 - 10/06 - OK</t>
  </si>
  <si>
    <t>12/06 - 11/06 - OK</t>
  </si>
  <si>
    <t>13/06 - 11/06 - OK</t>
  </si>
  <si>
    <t>17/06 - 16/06 - ok</t>
  </si>
  <si>
    <t>14/06 - 14/06 - ok</t>
  </si>
  <si>
    <t>ok</t>
  </si>
  <si>
    <t>16/06 - 17/06  OK</t>
  </si>
  <si>
    <t>TN72 manutenção desde 16/06</t>
  </si>
  <si>
    <t>22/06 - 20/06</t>
  </si>
  <si>
    <t>21/06 - 23/06 ok</t>
  </si>
  <si>
    <t>26/06 - 23/06 - ok</t>
  </si>
  <si>
    <t>21/06 - 24/06 ok</t>
  </si>
  <si>
    <t>26/06 - 24/06 - OK</t>
  </si>
  <si>
    <t>TN74, TN29 em manutenção</t>
  </si>
  <si>
    <t>03/07 - 30/06 - ok</t>
  </si>
  <si>
    <t>07/07 - 06/07 - ok</t>
  </si>
  <si>
    <t>09/07 - 07/07 ok</t>
  </si>
  <si>
    <t xml:space="preserve">pendente </t>
  </si>
  <si>
    <t>22/07/2025</t>
  </si>
  <si>
    <t>21/07/2025</t>
  </si>
  <si>
    <t>17/07/2025</t>
  </si>
  <si>
    <t>24/07/2025</t>
  </si>
  <si>
    <t>23/07/2025</t>
  </si>
  <si>
    <t>18/07/2025</t>
  </si>
  <si>
    <t>31/07/2025</t>
  </si>
  <si>
    <t>28/07/2025</t>
  </si>
  <si>
    <t>30/07/2-25</t>
  </si>
  <si>
    <t>29/07/2025</t>
  </si>
  <si>
    <t>30/07/2025</t>
  </si>
  <si>
    <t>21/07/2022</t>
  </si>
  <si>
    <t>01/08 - 28/07 - ok</t>
  </si>
  <si>
    <t>07/08 - 04/08 - ok</t>
  </si>
  <si>
    <t>TN 72 Manutenção</t>
  </si>
  <si>
    <t>16/08 - 22/08 ok</t>
  </si>
  <si>
    <t>8/22/2025</t>
  </si>
  <si>
    <t>8/26/2025</t>
  </si>
  <si>
    <t>8/27/2025</t>
  </si>
  <si>
    <t>8/25/2025</t>
  </si>
  <si>
    <t>8/28/2025</t>
  </si>
  <si>
    <t>8/29/2025</t>
  </si>
  <si>
    <t>TN78 manutenção</t>
  </si>
  <si>
    <t>OK</t>
  </si>
  <si>
    <t>TN73 Manutenção desde 04/09</t>
  </si>
  <si>
    <t>SEMANA S1</t>
  </si>
  <si>
    <t>KM INICIAL</t>
  </si>
  <si>
    <t>S1</t>
  </si>
  <si>
    <t>S2</t>
  </si>
  <si>
    <t>S3</t>
  </si>
  <si>
    <t>S4</t>
  </si>
  <si>
    <t>ULTIMA LAVAGEM</t>
  </si>
  <si>
    <t>STATUS DA LAVAGEM</t>
  </si>
  <si>
    <t>PROX. LAVAGEM</t>
  </si>
  <si>
    <t xml:space="preserve">PENDENTE </t>
  </si>
  <si>
    <t xml:space="preserve">MOIZES GARCIA </t>
  </si>
  <si>
    <t xml:space="preserve">ROBSON </t>
  </si>
  <si>
    <t>JOÃO PAULO</t>
  </si>
  <si>
    <t>GABRIEL OLIVEIRA</t>
  </si>
  <si>
    <t>ROSIVALDO CORREA</t>
  </si>
  <si>
    <t>KM TOTAL</t>
  </si>
  <si>
    <t xml:space="preserve">LAVAGEM PROGRAMADA </t>
  </si>
  <si>
    <t>ACOMPANHAMENTO KM SEMANA</t>
  </si>
  <si>
    <t>TAG</t>
  </si>
  <si>
    <t>ACUM.</t>
  </si>
  <si>
    <t>Aguardando Mob</t>
  </si>
  <si>
    <t>Em manutenção</t>
  </si>
  <si>
    <t>S5</t>
  </si>
  <si>
    <t>WILLIAM</t>
  </si>
  <si>
    <t>FQQ8B72</t>
  </si>
  <si>
    <t>Proxima Lavagem</t>
  </si>
  <si>
    <t>TDM2E33</t>
  </si>
  <si>
    <t>EM DIA</t>
  </si>
  <si>
    <t>28.12.2025</t>
  </si>
  <si>
    <t>11.01.2026</t>
  </si>
  <si>
    <t>18.12.2025</t>
  </si>
  <si>
    <t>13.01.2026</t>
  </si>
  <si>
    <t>17.01.2026</t>
  </si>
  <si>
    <t>13.01.2025</t>
  </si>
  <si>
    <t>09.01.2026</t>
  </si>
  <si>
    <t>10.01.2026</t>
  </si>
  <si>
    <t>30.01.2026</t>
  </si>
  <si>
    <t xml:space="preserve">EM DIA </t>
  </si>
  <si>
    <t>TN 78</t>
  </si>
  <si>
    <t>20.01.2026</t>
  </si>
  <si>
    <t>02.02.2026</t>
  </si>
  <si>
    <t>06.02.2026</t>
  </si>
  <si>
    <t>DESMOBILIZADA</t>
  </si>
  <si>
    <t>09.02.2026</t>
  </si>
  <si>
    <t>13.02.2026</t>
  </si>
  <si>
    <t>07.02.2026</t>
  </si>
  <si>
    <t>08.02.2026</t>
  </si>
  <si>
    <t>Nivus</t>
  </si>
  <si>
    <t>TXX4C32</t>
  </si>
  <si>
    <t>Strada</t>
  </si>
  <si>
    <t>12.02.2026</t>
  </si>
  <si>
    <t>SHX8B70</t>
  </si>
  <si>
    <t>RAMIRO</t>
  </si>
  <si>
    <t>Jeanderson</t>
  </si>
  <si>
    <t xml:space="preserve">Samuel </t>
  </si>
  <si>
    <t>Ediney</t>
  </si>
  <si>
    <t xml:space="preserve">Waldecyr </t>
  </si>
  <si>
    <t>Leno</t>
  </si>
  <si>
    <t>Mobilização</t>
  </si>
  <si>
    <t xml:space="preserve">Manutenção </t>
  </si>
  <si>
    <t>Erik</t>
  </si>
  <si>
    <t>23.02.2026</t>
  </si>
  <si>
    <t>21.02.2026</t>
  </si>
  <si>
    <t>16.02.2026</t>
  </si>
  <si>
    <t>28.02.2025</t>
  </si>
  <si>
    <t>16.03.2026</t>
  </si>
  <si>
    <t xml:space="preserve">Gabriel Garcia  </t>
  </si>
  <si>
    <t>Jeanderson Raul</t>
  </si>
  <si>
    <t>13.03.2026</t>
  </si>
  <si>
    <t>14.03.2026</t>
  </si>
  <si>
    <t>15.02.2026</t>
  </si>
  <si>
    <t>Waaldecyr</t>
  </si>
  <si>
    <t>Adriano</t>
  </si>
  <si>
    <t>20.03.2026</t>
  </si>
  <si>
    <t>Neto</t>
  </si>
  <si>
    <t>em mobilização</t>
  </si>
  <si>
    <t>Gabriel</t>
  </si>
  <si>
    <t>25.03.2026</t>
  </si>
  <si>
    <t>01.04.2026</t>
  </si>
  <si>
    <t>23.03.2026</t>
  </si>
  <si>
    <t>30.04.2026</t>
  </si>
  <si>
    <t>29.03.2026</t>
  </si>
  <si>
    <t>07.04.2026</t>
  </si>
  <si>
    <t>09.04.2026</t>
  </si>
  <si>
    <t>João Paulo</t>
  </si>
  <si>
    <t>Robson</t>
  </si>
  <si>
    <t>Josue</t>
  </si>
  <si>
    <t>03.04.2026</t>
  </si>
  <si>
    <t>31.03.2026</t>
  </si>
  <si>
    <t xml:space="preserve">Não informado </t>
  </si>
  <si>
    <t>TYG3A22</t>
  </si>
  <si>
    <t>07.04.2025</t>
  </si>
  <si>
    <t>21.03.2026</t>
  </si>
  <si>
    <t>17.04.2026</t>
  </si>
  <si>
    <t xml:space="preserve">Rosivaldo </t>
  </si>
  <si>
    <t>Ramiro</t>
  </si>
  <si>
    <t>20.04.2026</t>
  </si>
  <si>
    <t>29.04.2026</t>
  </si>
  <si>
    <t>21.04.2026</t>
  </si>
  <si>
    <t>18.04.2026</t>
  </si>
  <si>
    <t>28.04.2026</t>
  </si>
  <si>
    <t>Waldecyr</t>
  </si>
  <si>
    <t>Pulse</t>
  </si>
  <si>
    <t>TYU8F42</t>
  </si>
  <si>
    <t>MOBILIZAÇÃO</t>
  </si>
  <si>
    <t>MANUTENÇÃO</t>
  </si>
  <si>
    <t>Rosivald</t>
  </si>
  <si>
    <t>LAVADOR</t>
  </si>
  <si>
    <t>01.06.2026</t>
  </si>
  <si>
    <t>16.05.2026</t>
  </si>
  <si>
    <t>30.05.2026</t>
  </si>
  <si>
    <t>29.05.2026</t>
  </si>
  <si>
    <t>13.05.2026</t>
  </si>
  <si>
    <t>24.05.2026</t>
  </si>
  <si>
    <t>10.05.2026</t>
  </si>
  <si>
    <t>08.06.2026</t>
  </si>
  <si>
    <t>14.06.2026</t>
  </si>
  <si>
    <t>29.06.2026</t>
  </si>
  <si>
    <t>07.06.2026</t>
  </si>
  <si>
    <t>09.06.2026</t>
  </si>
  <si>
    <t>30.06.2026</t>
  </si>
  <si>
    <t>20.06.2026</t>
  </si>
  <si>
    <t>Rosivaldo</t>
  </si>
  <si>
    <t>Henrique</t>
  </si>
  <si>
    <t>Renato</t>
  </si>
  <si>
    <t>19.06.2026</t>
  </si>
  <si>
    <t>17.06.2026</t>
  </si>
  <si>
    <t>18.06.2026</t>
  </si>
  <si>
    <t>25.06.2026</t>
  </si>
  <si>
    <t>23.05.2026</t>
  </si>
  <si>
    <t>16.06.2026</t>
  </si>
  <si>
    <t>NÃO INFORMADO</t>
  </si>
  <si>
    <t>Erisvaldo</t>
  </si>
  <si>
    <t>Wilian</t>
  </si>
  <si>
    <t>DESMOBILIZAÇÃO</t>
  </si>
  <si>
    <t>10.07.2026</t>
  </si>
  <si>
    <t>MATUTENÇÃO</t>
  </si>
  <si>
    <t>31.07.2026</t>
  </si>
  <si>
    <t>29.07.2026</t>
  </si>
  <si>
    <t>25.07.2026</t>
  </si>
  <si>
    <t>04.08.2026</t>
  </si>
  <si>
    <t>05.08.2026</t>
  </si>
  <si>
    <t>UQZ7I71</t>
  </si>
  <si>
    <t>20.08.2026</t>
  </si>
  <si>
    <t>Não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</si>
</sst>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;@"/>
  </numFmts>
  <fonts count="2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808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4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0" fontId="0" fillId="4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6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0" fontId="0" fillId="7" borderId="0" xfId="0" applyFill="1"/>
    <xf numFmtId="0" fontId="0" fillId="7" borderId="5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" xfId="0" applyFill="1" applyBorder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6" borderId="0" xfId="0" applyFill="1"/>
    <xf numFmtId="0" fontId="4" fillId="1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13" borderId="0" xfId="0" applyFont="1" applyFill="1"/>
    <xf numFmtId="0" fontId="0" fillId="6" borderId="5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3" fontId="0" fillId="15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14" fontId="8" fillId="0" borderId="1" xfId="0" applyNumberFormat="1" applyFont="1" applyBorder="1"/>
    <xf numFmtId="0" fontId="8" fillId="16" borderId="11" xfId="0" applyFont="1" applyFill="1" applyBorder="1"/>
    <xf numFmtId="0" fontId="8" fillId="0" borderId="11" xfId="0" applyFont="1" applyBorder="1"/>
    <xf numFmtId="14" fontId="8" fillId="0" borderId="11" xfId="0" applyNumberFormat="1" applyFont="1" applyBorder="1"/>
    <xf numFmtId="0" fontId="8" fillId="12" borderId="1" xfId="0" applyFont="1" applyFill="1" applyBorder="1"/>
    <xf numFmtId="0" fontId="8" fillId="12" borderId="11" xfId="0" applyFont="1" applyFill="1" applyBorder="1"/>
    <xf numFmtId="0" fontId="2" fillId="0" borderId="4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16" borderId="11" xfId="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15" borderId="1" xfId="0" applyNumberFormat="1" applyFill="1" applyBorder="1" applyAlignment="1">
      <alignment horizontal="center"/>
    </xf>
    <xf numFmtId="14" fontId="8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/>
    <xf numFmtId="14" fontId="8" fillId="15" borderId="1" xfId="0" applyNumberFormat="1" applyFont="1" applyFill="1" applyBorder="1"/>
    <xf numFmtId="16" fontId="8" fillId="0" borderId="11" xfId="0" applyNumberFormat="1" applyFont="1" applyBorder="1"/>
    <xf numFmtId="14" fontId="8" fillId="0" borderId="11" xfId="0" applyNumberFormat="1" applyFont="1" applyBorder="1" applyAlignment="1">
      <alignment horizontal="center"/>
    </xf>
    <xf numFmtId="14" fontId="8" fillId="15" borderId="11" xfId="0" applyNumberFormat="1" applyFont="1" applyFill="1" applyBorder="1" applyAlignment="1">
      <alignment horizontal="center" vertical="center"/>
    </xf>
    <xf numFmtId="0" fontId="8" fillId="15" borderId="11" xfId="0" applyFont="1" applyFill="1" applyBorder="1"/>
    <xf numFmtId="14" fontId="8" fillId="15" borderId="11" xfId="0" applyNumberFormat="1" applyFont="1" applyFill="1" applyBorder="1"/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/>
    <xf numFmtId="0" fontId="9" fillId="17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18" borderId="0" xfId="0" applyFont="1" applyFill="1"/>
    <xf numFmtId="0" fontId="9" fillId="1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4" fillId="12" borderId="11" xfId="0" applyFont="1" applyFill="1" applyBorder="1"/>
    <xf numFmtId="14" fontId="4" fillId="0" borderId="1" xfId="0" applyNumberFormat="1" applyFont="1" applyBorder="1"/>
    <xf numFmtId="0" fontId="4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/>
    </xf>
    <xf numFmtId="0" fontId="4" fillId="16" borderId="11" xfId="0" applyFont="1" applyFill="1" applyBorder="1" applyAlignment="1">
      <alignment horizontal="center" vertical="center"/>
    </xf>
    <xf numFmtId="0" fontId="4" fillId="16" borderId="11" xfId="0" applyFont="1" applyFill="1" applyBorder="1"/>
    <xf numFmtId="0" fontId="4" fillId="0" borderId="11" xfId="0" applyFont="1" applyBorder="1"/>
    <xf numFmtId="14" fontId="4" fillId="0" borderId="11" xfId="0" applyNumberFormat="1" applyFont="1" applyBorder="1"/>
    <xf numFmtId="0" fontId="4" fillId="10" borderId="1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3" fontId="4" fillId="10" borderId="1" xfId="0" applyNumberFormat="1" applyFont="1" applyFill="1" applyBorder="1" applyAlignment="1">
      <alignment horizontal="center"/>
    </xf>
    <xf numFmtId="14" fontId="4" fillId="0" borderId="11" xfId="0" applyNumberFormat="1" applyFont="1" applyBorder="1" applyAlignment="1">
      <alignment horizontal="center"/>
    </xf>
    <xf numFmtId="14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" fontId="4" fillId="16" borderId="1" xfId="0" applyNumberFormat="1" applyFont="1" applyFill="1" applyBorder="1" applyAlignment="1">
      <alignment horizontal="center"/>
    </xf>
    <xf numFmtId="14" fontId="4" fillId="16" borderId="11" xfId="0" applyNumberFormat="1" applyFont="1" applyFill="1" applyBorder="1" applyAlignment="1">
      <alignment horizontal="center" vertical="center"/>
    </xf>
    <xf numFmtId="14" fontId="4" fillId="16" borderId="11" xfId="0" applyNumberFormat="1" applyFont="1" applyFill="1" applyBorder="1"/>
    <xf numFmtId="14" fontId="4" fillId="15" borderId="1" xfId="0" applyNumberFormat="1" applyFont="1" applyFill="1" applyBorder="1" applyAlignment="1">
      <alignment horizontal="center"/>
    </xf>
    <xf numFmtId="0" fontId="4" fillId="6" borderId="11" xfId="0" applyFont="1" applyFill="1" applyBorder="1"/>
    <xf numFmtId="16" fontId="4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10" borderId="12" xfId="0" applyFont="1" applyFill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12" xfId="0" applyNumberFormat="1" applyFont="1" applyBorder="1"/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3" fontId="4" fillId="0" borderId="13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14" fontId="4" fillId="0" borderId="9" xfId="0" applyNumberFormat="1" applyFont="1" applyBorder="1"/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3" fontId="4" fillId="15" borderId="1" xfId="0" applyNumberFormat="1" applyFont="1" applyFill="1" applyBorder="1" applyAlignment="1">
      <alignment horizontal="center"/>
    </xf>
    <xf numFmtId="14" fontId="4" fillId="15" borderId="1" xfId="0" applyNumberFormat="1" applyFont="1" applyFill="1" applyBorder="1" applyAlignment="1">
      <alignment horizontal="center" vertical="center"/>
    </xf>
    <xf numFmtId="14" fontId="4" fillId="15" borderId="11" xfId="0" applyNumberFormat="1" applyFont="1" applyFill="1" applyBorder="1"/>
    <xf numFmtId="14" fontId="8" fillId="0" borderId="9" xfId="0" applyNumberFormat="1" applyFont="1" applyBorder="1"/>
    <xf numFmtId="0" fontId="8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14" fontId="8" fillId="0" borderId="12" xfId="0" applyNumberFormat="1" applyFont="1" applyBorder="1"/>
    <xf numFmtId="0" fontId="4" fillId="10" borderId="12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14" fontId="8" fillId="4" borderId="11" xfId="0" applyNumberFormat="1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4" fontId="4" fillId="0" borderId="15" xfId="0" applyNumberFormat="1" applyFont="1" applyBorder="1" applyAlignment="1">
      <alignment horizontal="center" vertical="center"/>
    </xf>
    <xf numFmtId="14" fontId="8" fillId="0" borderId="15" xfId="0" applyNumberFormat="1" applyFont="1" applyBorder="1"/>
    <xf numFmtId="14" fontId="4" fillId="0" borderId="5" xfId="0" applyNumberFormat="1" applyFont="1" applyBorder="1" applyAlignment="1">
      <alignment horizontal="center"/>
    </xf>
    <xf numFmtId="3" fontId="4" fillId="10" borderId="13" xfId="0" applyNumberFormat="1" applyFont="1" applyFill="1" applyBorder="1" applyAlignment="1">
      <alignment horizontal="center"/>
    </xf>
    <xf numFmtId="3" fontId="4" fillId="10" borderId="12" xfId="0" applyNumberFormat="1" applyFont="1" applyFill="1" applyBorder="1" applyAlignment="1">
      <alignment horizontal="center"/>
    </xf>
    <xf numFmtId="3" fontId="4" fillId="10" borderId="5" xfId="0" applyNumberFormat="1" applyFont="1" applyFill="1" applyBorder="1" applyAlignment="1">
      <alignment horizontal="center"/>
    </xf>
    <xf numFmtId="3" fontId="4" fillId="10" borderId="14" xfId="0" applyNumberFormat="1" applyFont="1" applyFill="1" applyBorder="1" applyAlignment="1">
      <alignment horizontal="center"/>
    </xf>
    <xf numFmtId="3" fontId="4" fillId="0" borderId="16" xfId="0" applyNumberFormat="1" applyFont="1" applyBorder="1" applyAlignment="1">
      <alignment horizontal="center"/>
    </xf>
    <xf numFmtId="14" fontId="4" fillId="0" borderId="17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14" fontId="8" fillId="0" borderId="15" xfId="0" applyNumberFormat="1" applyFont="1" applyBorder="1" applyAlignment="1">
      <alignment horizontal="center"/>
    </xf>
    <xf numFmtId="14" fontId="8" fillId="4" borderId="11" xfId="0" applyNumberFormat="1" applyFont="1" applyFill="1" applyBorder="1" applyAlignment="1">
      <alignment horizontal="center"/>
    </xf>
    <xf numFmtId="14" fontId="10" fillId="0" borderId="1" xfId="0" applyNumberFormat="1" applyFont="1" applyBorder="1"/>
    <xf numFmtId="14" fontId="8" fillId="4" borderId="12" xfId="0" applyNumberFormat="1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10" borderId="16" xfId="0" applyNumberFormat="1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5" fillId="12" borderId="13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/>
    </xf>
    <xf numFmtId="14" fontId="4" fillId="6" borderId="12" xfId="0" applyNumberFormat="1" applyFont="1" applyFill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1" fillId="0" borderId="0" xfId="0" applyFont="1"/>
    <xf numFmtId="0" fontId="8" fillId="0" borderId="0" xfId="0" applyFont="1"/>
    <xf numFmtId="0" fontId="12" fillId="17" borderId="1" xfId="0" applyFont="1" applyFill="1" applyBorder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  <xf numFmtId="0" fontId="14" fillId="18" borderId="0" xfId="0" applyFont="1" applyFill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14" fontId="8" fillId="0" borderId="15" xfId="0" applyNumberFormat="1" applyFont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4" fontId="8" fillId="10" borderId="11" xfId="0" applyNumberFormat="1" applyFont="1" applyFill="1" applyBorder="1" applyAlignment="1">
      <alignment horizontal="center" vertical="center"/>
    </xf>
    <xf numFmtId="0" fontId="12" fillId="17" borderId="1" xfId="0" applyFont="1" applyFill="1" applyBorder="1"/>
    <xf numFmtId="0" fontId="13" fillId="12" borderId="13" xfId="0" applyFont="1" applyFill="1" applyBorder="1"/>
    <xf numFmtId="0" fontId="14" fillId="18" borderId="0" xfId="0" applyFont="1" applyFill="1"/>
    <xf numFmtId="0" fontId="12" fillId="19" borderId="1" xfId="0" applyFont="1" applyFill="1" applyBorder="1"/>
    <xf numFmtId="0" fontId="8" fillId="0" borderId="1" xfId="0" applyFont="1" applyBorder="1"/>
    <xf numFmtId="0" fontId="8" fillId="10" borderId="1" xfId="0" applyFont="1" applyFill="1" applyBorder="1"/>
    <xf numFmtId="0" fontId="8" fillId="0" borderId="5" xfId="0" applyFont="1" applyBorder="1"/>
    <xf numFmtId="0" fontId="8" fillId="10" borderId="5" xfId="0" applyFont="1" applyFill="1" applyBorder="1"/>
    <xf numFmtId="3" fontId="8" fillId="10" borderId="5" xfId="0" applyNumberFormat="1" applyFont="1" applyFill="1" applyBorder="1"/>
    <xf numFmtId="0" fontId="8" fillId="0" borderId="12" xfId="0" applyFont="1" applyBorder="1"/>
    <xf numFmtId="14" fontId="8" fillId="21" borderId="12" xfId="0" applyNumberFormat="1" applyFont="1" applyFill="1" applyBorder="1"/>
    <xf numFmtId="0" fontId="8" fillId="10" borderId="12" xfId="0" applyFont="1" applyFill="1" applyBorder="1"/>
    <xf numFmtId="3" fontId="8" fillId="10" borderId="14" xfId="0" applyNumberFormat="1" applyFont="1" applyFill="1" applyBorder="1"/>
    <xf numFmtId="0" fontId="8" fillId="10" borderId="16" xfId="0" applyFont="1" applyFill="1" applyBorder="1"/>
    <xf numFmtId="3" fontId="8" fillId="10" borderId="16" xfId="0" applyNumberFormat="1" applyFont="1" applyFill="1" applyBorder="1"/>
    <xf numFmtId="0" fontId="8" fillId="0" borderId="13" xfId="0" applyFont="1" applyBorder="1"/>
    <xf numFmtId="0" fontId="8" fillId="10" borderId="13" xfId="0" applyFont="1" applyFill="1" applyBorder="1"/>
    <xf numFmtId="0" fontId="8" fillId="0" borderId="14" xfId="0" applyFont="1" applyBorder="1"/>
    <xf numFmtId="14" fontId="8" fillId="10" borderId="12" xfId="0" applyNumberFormat="1" applyFont="1" applyFill="1" applyBorder="1"/>
    <xf numFmtId="3" fontId="8" fillId="20" borderId="16" xfId="0" applyNumberFormat="1" applyFont="1" applyFill="1" applyBorder="1"/>
    <xf numFmtId="14" fontId="8" fillId="20" borderId="12" xfId="0" applyNumberFormat="1" applyFont="1" applyFill="1" applyBorder="1"/>
    <xf numFmtId="0" fontId="8" fillId="20" borderId="12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17" borderId="13" xfId="0" applyFont="1" applyFill="1" applyBorder="1"/>
    <xf numFmtId="0" fontId="8" fillId="10" borderId="14" xfId="0" applyFont="1" applyFill="1" applyBorder="1"/>
    <xf numFmtId="0" fontId="8" fillId="10" borderId="17" xfId="0" applyFont="1" applyFill="1" applyBorder="1" applyAlignment="1">
      <alignment horizontal="center" vertical="center"/>
    </xf>
    <xf numFmtId="0" fontId="11" fillId="10" borderId="21" xfId="0" applyFont="1" applyFill="1" applyBorder="1" applyAlignment="1">
      <alignment horizontal="center"/>
    </xf>
    <xf numFmtId="0" fontId="11" fillId="10" borderId="22" xfId="0" applyFont="1" applyFill="1" applyBorder="1" applyAlignment="1">
      <alignment horizontal="center"/>
    </xf>
    <xf numFmtId="0" fontId="11" fillId="10" borderId="23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4" fontId="1" fillId="0" borderId="27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2" fillId="0" borderId="28" xfId="0" applyFont="1" applyBorder="1" applyAlignment="1">
      <alignment horizontal="center"/>
    </xf>
    <xf numFmtId="14" fontId="11" fillId="0" borderId="4" xfId="0" applyNumberFormat="1" applyFont="1" applyBorder="1"/>
    <xf numFmtId="14" fontId="0" fillId="0" borderId="0" xfId="0" applyNumberFormat="1"/>
    <xf numFmtId="14" fontId="16" fillId="22" borderId="13" xfId="0" applyNumberFormat="1" applyFont="1" applyFill="1" applyBorder="1"/>
    <xf numFmtId="0" fontId="12" fillId="22" borderId="0" xfId="0" applyFont="1" applyFill="1"/>
    <xf numFmtId="0" fontId="12" fillId="23" borderId="1" xfId="0" applyFont="1" applyFill="1" applyBorder="1"/>
    <xf numFmtId="0" fontId="8" fillId="24" borderId="17" xfId="0" applyFont="1" applyFill="1" applyBorder="1" applyAlignment="1">
      <alignment horizontal="center" vertical="center"/>
    </xf>
    <xf numFmtId="3" fontId="8" fillId="25" borderId="16" xfId="0" applyNumberFormat="1" applyFont="1" applyFill="1" applyBorder="1"/>
    <xf numFmtId="0" fontId="8" fillId="25" borderId="1" xfId="0" applyFont="1" applyFill="1" applyBorder="1"/>
    <xf numFmtId="0" fontId="12" fillId="22" borderId="13" xfId="0" applyFont="1" applyFill="1" applyBorder="1"/>
    <xf numFmtId="3" fontId="8" fillId="4" borderId="16" xfId="0" applyNumberFormat="1" applyFont="1" applyFill="1" applyBorder="1"/>
    <xf numFmtId="0" fontId="8" fillId="4" borderId="1" xfId="0" applyFont="1" applyFill="1" applyBorder="1"/>
    <xf numFmtId="164" fontId="2" fillId="0" borderId="26" xfId="0" applyNumberFormat="1" applyFont="1" applyBorder="1" applyAlignment="1">
      <alignment horizontal="center" vertical="center"/>
    </xf>
    <xf numFmtId="164" fontId="4" fillId="0" borderId="11" xfId="0" applyNumberFormat="1" applyFont="1" applyBorder="1"/>
    <xf numFmtId="164" fontId="4" fillId="4" borderId="11" xfId="0" applyNumberFormat="1" applyFont="1" applyFill="1" applyBorder="1"/>
    <xf numFmtId="164" fontId="8" fillId="0" borderId="12" xfId="0" applyNumberFormat="1" applyFont="1" applyBorder="1"/>
    <xf numFmtId="164" fontId="8" fillId="0" borderId="11" xfId="0" applyNumberFormat="1" applyFont="1" applyBorder="1"/>
    <xf numFmtId="164" fontId="10" fillId="0" borderId="1" xfId="0" applyNumberFormat="1" applyFont="1" applyBorder="1"/>
    <xf numFmtId="0" fontId="8" fillId="4" borderId="5" xfId="0" applyFont="1" applyFill="1" applyBorder="1"/>
    <xf numFmtId="0" fontId="8" fillId="4" borderId="14" xfId="0" applyFont="1" applyFill="1" applyBorder="1"/>
    <xf numFmtId="0" fontId="8" fillId="4" borderId="12" xfId="0" applyFont="1" applyFill="1" applyBorder="1"/>
    <xf numFmtId="0" fontId="17" fillId="4" borderId="5" xfId="0" applyFont="1" applyFill="1" applyBorder="1"/>
    <xf numFmtId="0" fontId="8" fillId="7" borderId="5" xfId="0" applyFont="1" applyFill="1" applyBorder="1"/>
    <xf numFmtId="0" fontId="2" fillId="0" borderId="25" xfId="0" applyFont="1" applyBorder="1" applyAlignment="1">
      <alignment horizontal="center" vertical="center" wrapText="1"/>
    </xf>
    <xf numFmtId="3" fontId="8" fillId="10" borderId="0" xfId="0" applyNumberFormat="1" applyFont="1" applyFill="1"/>
    <xf numFmtId="0" fontId="11" fillId="10" borderId="32" xfId="0" applyFont="1" applyFill="1" applyBorder="1" applyAlignment="1">
      <alignment horizontal="center"/>
    </xf>
    <xf numFmtId="2" fontId="15" fillId="0" borderId="0" xfId="0" applyNumberFormat="1" applyFont="1" applyAlignment="1">
      <alignment horizontal="center"/>
    </xf>
    <xf numFmtId="2" fontId="15" fillId="0" borderId="20" xfId="0" applyNumberFormat="1" applyFont="1" applyBorder="1" applyAlignment="1">
      <alignment horizontal="center"/>
    </xf>
    <xf numFmtId="2" fontId="11" fillId="0" borderId="4" xfId="0" applyNumberFormat="1" applyFont="1" applyBorder="1"/>
    <xf numFmtId="2" fontId="18" fillId="0" borderId="0" xfId="0" applyNumberFormat="1" applyFont="1"/>
    <xf numFmtId="2" fontId="18" fillId="0" borderId="20" xfId="0" applyNumberFormat="1" applyFont="1" applyBorder="1" applyAlignment="1">
      <alignment horizontal="center"/>
    </xf>
    <xf numFmtId="164" fontId="4" fillId="4" borderId="11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8" fillId="26" borderId="17" xfId="0" applyFont="1" applyFill="1" applyBorder="1" applyAlignment="1">
      <alignment horizontal="center" vertical="center"/>
    </xf>
    <xf numFmtId="0" fontId="12" fillId="17" borderId="13" xfId="0" applyFont="1" applyFill="1" applyBorder="1" applyAlignment="1">
      <alignment horizontal="center"/>
    </xf>
    <xf numFmtId="0" fontId="19" fillId="10" borderId="1" xfId="0" applyFont="1" applyFill="1" applyBorder="1"/>
    <xf numFmtId="0" fontId="19" fillId="0" borderId="1" xfId="0" applyFont="1" applyBorder="1"/>
    <xf numFmtId="0" fontId="19" fillId="10" borderId="13" xfId="0" applyFont="1" applyFill="1" applyBorder="1"/>
    <xf numFmtId="0" fontId="19" fillId="0" borderId="12" xfId="0" applyFont="1" applyBorder="1"/>
    <xf numFmtId="0" fontId="19" fillId="4" borderId="5" xfId="0" applyFont="1" applyFill="1" applyBorder="1"/>
    <xf numFmtId="0" fontId="19" fillId="25" borderId="1" xfId="0" applyFont="1" applyFill="1" applyBorder="1"/>
    <xf numFmtId="164" fontId="10" fillId="4" borderId="1" xfId="0" applyNumberFormat="1" applyFont="1" applyFill="1" applyBorder="1"/>
    <xf numFmtId="164" fontId="8" fillId="4" borderId="12" xfId="0" applyNumberFormat="1" applyFont="1" applyFill="1" applyBorder="1"/>
    <xf numFmtId="0" fontId="8" fillId="25" borderId="17" xfId="0" applyFont="1" applyFill="1" applyBorder="1" applyAlignment="1">
      <alignment horizontal="center" vertical="center"/>
    </xf>
    <xf numFmtId="0" fontId="19" fillId="4" borderId="1" xfId="0" applyFont="1" applyFill="1" applyBorder="1"/>
    <xf numFmtId="3" fontId="20" fillId="25" borderId="16" xfId="0" applyNumberFormat="1" applyFont="1" applyFill="1" applyBorder="1"/>
    <xf numFmtId="0" fontId="20" fillId="25" borderId="17" xfId="0" applyFont="1" applyFill="1" applyBorder="1" applyAlignment="1">
      <alignment horizontal="center" vertical="center"/>
    </xf>
    <xf numFmtId="164" fontId="8" fillId="4" borderId="11" xfId="0" applyNumberFormat="1" applyFont="1" applyFill="1" applyBorder="1"/>
    <xf numFmtId="0" fontId="8" fillId="25" borderId="13" xfId="0" applyFont="1" applyFill="1" applyBorder="1"/>
    <xf numFmtId="0" fontId="19" fillId="25" borderId="13" xfId="0" applyFont="1" applyFill="1" applyBorder="1"/>
    <xf numFmtId="3" fontId="8" fillId="25" borderId="16" xfId="0" applyNumberFormat="1" applyFont="1" applyFill="1" applyBorder="1" applyAlignment="1">
      <alignment horizontal="right"/>
    </xf>
    <xf numFmtId="0" fontId="8" fillId="25" borderId="12" xfId="0" applyFont="1" applyFill="1" applyBorder="1"/>
    <xf numFmtId="0" fontId="19" fillId="4" borderId="12" xfId="0" applyFont="1" applyFill="1" applyBorder="1"/>
    <xf numFmtId="3" fontId="17" fillId="25" borderId="16" xfId="0" applyNumberFormat="1" applyFont="1" applyFill="1" applyBorder="1"/>
    <xf numFmtId="3" fontId="8" fillId="4" borderId="16" xfId="0" applyNumberFormat="1" applyFont="1" applyFill="1" applyBorder="1" applyAlignment="1">
      <alignment horizontal="right"/>
    </xf>
    <xf numFmtId="3" fontId="8" fillId="10" borderId="16" xfId="0" applyNumberFormat="1" applyFont="1" applyFill="1" applyBorder="1" applyAlignment="1">
      <alignment horizontal="right"/>
    </xf>
    <xf numFmtId="3" fontId="8" fillId="4" borderId="16" xfId="0" applyNumberFormat="1" applyFont="1" applyFill="1" applyBorder="1" applyAlignment="1">
      <alignment horizontal="center"/>
    </xf>
    <xf numFmtId="3" fontId="8" fillId="10" borderId="16" xfId="0" applyNumberFormat="1" applyFont="1" applyFill="1" applyBorder="1" applyAlignment="1">
      <alignment horizontal="center"/>
    </xf>
    <xf numFmtId="0" fontId="8" fillId="12" borderId="12" xfId="0" applyFont="1" applyFill="1" applyBorder="1"/>
    <xf numFmtId="0" fontId="8" fillId="12" borderId="13" xfId="0" applyFont="1" applyFill="1" applyBorder="1"/>
    <xf numFmtId="0" fontId="8" fillId="6" borderId="1" xfId="0" applyFont="1" applyFill="1" applyBorder="1"/>
    <xf numFmtId="14" fontId="0" fillId="0" borderId="1" xfId="0" applyNumberFormat="1" applyBorder="1"/>
    <xf numFmtId="3" fontId="8" fillId="25" borderId="16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7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7" fillId="12" borderId="5" xfId="0" applyFont="1" applyFill="1" applyBorder="1" applyAlignment="1">
      <alignment horizontal="center" wrapText="1"/>
    </xf>
    <xf numFmtId="0" fontId="7" fillId="12" borderId="6" xfId="0" applyFont="1" applyFill="1" applyBorder="1" applyAlignment="1">
      <alignment horizontal="center" wrapText="1"/>
    </xf>
    <xf numFmtId="0" fontId="7" fillId="12" borderId="7" xfId="0" applyFont="1" applyFill="1" applyBorder="1" applyAlignment="1">
      <alignment horizontal="center" wrapText="1"/>
    </xf>
    <xf numFmtId="0" fontId="7" fillId="14" borderId="5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center"/>
    </xf>
    <xf numFmtId="0" fontId="7" fillId="14" borderId="7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7" borderId="1" xfId="0" applyFont="1" applyFill="1" applyBorder="1" applyAlignment="1">
      <alignment horizontal="center"/>
    </xf>
    <xf numFmtId="0" fontId="0" fillId="20" borderId="0" xfId="0" applyFill="1"/>
    <xf numFmtId="0" fontId="4" fillId="3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160">
    <dxf>
      <font>
        <b/>
        <i val="0"/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'OUTUBRO 2025'!$G$28</c:f>
              <c:strCache>
                <c:ptCount val="1"/>
                <c:pt idx="0">
                  <c:v>ACUM.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'OUTUBRO 2025'!$A$29:$A$38</c:f>
              <c:strCache>
                <c:ptCount val="10"/>
                <c:pt idx="0">
                  <c:v>TN 01</c:v>
                </c:pt>
                <c:pt idx="1">
                  <c:v>TN 03</c:v>
                </c:pt>
                <c:pt idx="2">
                  <c:v>TN 04</c:v>
                </c:pt>
                <c:pt idx="3">
                  <c:v>TN 29</c:v>
                </c:pt>
                <c:pt idx="4">
                  <c:v>TN 31</c:v>
                </c:pt>
                <c:pt idx="5">
                  <c:v>TN 72</c:v>
                </c:pt>
                <c:pt idx="6">
                  <c:v>TN 73</c:v>
                </c:pt>
                <c:pt idx="7">
                  <c:v>TN 74</c:v>
                </c:pt>
                <c:pt idx="8">
                  <c:v>TN 76</c:v>
                </c:pt>
                <c:pt idx="9">
                  <c:v>TN78</c:v>
                </c:pt>
              </c:strCache>
            </c:strRef>
          </c:cat>
          <c:val>
            <c:numRef>
              <c:f>'OUTUBRO 2025'!$G$29:$G$38</c:f>
              <c:numCache>
                <c:formatCode>0.00</c:formatCode>
                <c:ptCount val="10"/>
                <c:pt idx="0">
                  <c:v>1200</c:v>
                </c:pt>
                <c:pt idx="1">
                  <c:v>3308</c:v>
                </c:pt>
                <c:pt idx="2">
                  <c:v>2993</c:v>
                </c:pt>
                <c:pt idx="3">
                  <c:v>0</c:v>
                </c:pt>
                <c:pt idx="4">
                  <c:v>0</c:v>
                </c:pt>
                <c:pt idx="5">
                  <c:v>3872</c:v>
                </c:pt>
                <c:pt idx="6">
                  <c:v>2825</c:v>
                </c:pt>
                <c:pt idx="7">
                  <c:v>3770</c:v>
                </c:pt>
                <c:pt idx="8">
                  <c:v>2352</c:v>
                </c:pt>
                <c:pt idx="9">
                  <c:v>4644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70C-4340-8526-C67C69B95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471088"/>
        <c:axId val="194467560"/>
      </c:barChart>
      <c:catAx>
        <c:axId val="19447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467560"/>
        <c:crosses val="autoZero"/>
        <c:auto val="1"/>
        <c:lblAlgn val="ctr"/>
        <c:lblOffset val="100"/>
        <c:noMultiLvlLbl val="0"/>
      </c:catAx>
      <c:valAx>
        <c:axId val="194467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47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'NOVEMBRO 2025'!$G$28</c:f>
              <c:strCache>
                <c:ptCount val="1"/>
                <c:pt idx="0">
                  <c:v>ACUM.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'NOVEMBRO 2025'!$A$29:$A$38</c:f>
              <c:strCache>
                <c:ptCount val="10"/>
                <c:pt idx="0">
                  <c:v>TN 01</c:v>
                </c:pt>
                <c:pt idx="1">
                  <c:v>TN 03</c:v>
                </c:pt>
                <c:pt idx="2">
                  <c:v>TN 04</c:v>
                </c:pt>
                <c:pt idx="3">
                  <c:v>TN 29</c:v>
                </c:pt>
                <c:pt idx="4">
                  <c:v>TN 31</c:v>
                </c:pt>
                <c:pt idx="5">
                  <c:v>TN 72</c:v>
                </c:pt>
                <c:pt idx="6">
                  <c:v>TN 73</c:v>
                </c:pt>
                <c:pt idx="7">
                  <c:v>TN 74</c:v>
                </c:pt>
                <c:pt idx="8">
                  <c:v>TN 76</c:v>
                </c:pt>
                <c:pt idx="9">
                  <c:v>TN78</c:v>
                </c:pt>
              </c:strCache>
            </c:strRef>
          </c:cat>
          <c:val>
            <c:numRef>
              <c:f>'NOVEMBRO 2025'!$G$29:$G$38</c:f>
              <c:numCache>
                <c:formatCode>0.00</c:formatCode>
                <c:ptCount val="10"/>
                <c:pt idx="0">
                  <c:v>-84</c:v>
                </c:pt>
                <c:pt idx="1">
                  <c:v>-25589</c:v>
                </c:pt>
                <c:pt idx="2">
                  <c:v>0</c:v>
                </c:pt>
                <c:pt idx="3">
                  <c:v>0</c:v>
                </c:pt>
                <c:pt idx="4">
                  <c:v>-25610</c:v>
                </c:pt>
                <c:pt idx="5">
                  <c:v>-109814</c:v>
                </c:pt>
                <c:pt idx="6">
                  <c:v>-12954</c:v>
                </c:pt>
                <c:pt idx="7">
                  <c:v>-19333</c:v>
                </c:pt>
                <c:pt idx="8">
                  <c:v>-20577</c:v>
                </c:pt>
                <c:pt idx="9">
                  <c:v>-111391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C3-42F5-B18B-5A7172A6F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468344"/>
        <c:axId val="194469128"/>
      </c:barChart>
      <c:catAx>
        <c:axId val="194468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469128"/>
        <c:crosses val="autoZero"/>
        <c:auto val="1"/>
        <c:lblAlgn val="ctr"/>
        <c:lblOffset val="100"/>
        <c:noMultiLvlLbl val="0"/>
      </c:catAx>
      <c:valAx>
        <c:axId val="19446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468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JANEIRO!$G$28</c:f>
              <c:strCache>
                <c:ptCount val="1"/>
                <c:pt idx="0">
                  <c:v>ACUM.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JANEIRO!$A$29:$A$38</c:f>
              <c:strCache>
                <c:ptCount val="10"/>
                <c:pt idx="0">
                  <c:v>TN 01</c:v>
                </c:pt>
                <c:pt idx="1">
                  <c:v>TN 03</c:v>
                </c:pt>
                <c:pt idx="2">
                  <c:v>TN 04</c:v>
                </c:pt>
                <c:pt idx="3">
                  <c:v>TN 29</c:v>
                </c:pt>
                <c:pt idx="4">
                  <c:v>TN 31</c:v>
                </c:pt>
                <c:pt idx="5">
                  <c:v>TN 72</c:v>
                </c:pt>
                <c:pt idx="6">
                  <c:v>TN 73</c:v>
                </c:pt>
                <c:pt idx="7">
                  <c:v>TN 74</c:v>
                </c:pt>
                <c:pt idx="8">
                  <c:v>TN 76</c:v>
                </c:pt>
                <c:pt idx="9">
                  <c:v>TN78</c:v>
                </c:pt>
              </c:strCache>
            </c:strRef>
          </c:cat>
          <c:val>
            <c:numRef>
              <c:f>JANEIRO!$G$29:$G$38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27542</c:v>
                </c:pt>
                <c:pt idx="3">
                  <c:v>2657</c:v>
                </c:pt>
                <c:pt idx="4">
                  <c:v>-28717</c:v>
                </c:pt>
                <c:pt idx="5">
                  <c:v>3099</c:v>
                </c:pt>
                <c:pt idx="6">
                  <c:v>0</c:v>
                </c:pt>
                <c:pt idx="7">
                  <c:v>-24337</c:v>
                </c:pt>
                <c:pt idx="8">
                  <c:v>27932</c:v>
                </c:pt>
                <c:pt idx="9">
                  <c:v>122927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F32-4C8A-9208-FB1FBAC21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464024"/>
        <c:axId val="209459320"/>
      </c:barChart>
      <c:catAx>
        <c:axId val="209464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59320"/>
        <c:crosses val="autoZero"/>
        <c:auto val="1"/>
        <c:lblAlgn val="ctr"/>
        <c:lblOffset val="100"/>
        <c:noMultiLvlLbl val="0"/>
      </c:catAx>
      <c:valAx>
        <c:axId val="20945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64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FEVEREIRO!$G$28</c:f>
              <c:strCache>
                <c:ptCount val="1"/>
                <c:pt idx="0">
                  <c:v>ACUM.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FEVEREIRO!$A$29:$A$38</c:f>
              <c:strCache>
                <c:ptCount val="10"/>
                <c:pt idx="0">
                  <c:v>TN 01</c:v>
                </c:pt>
                <c:pt idx="1">
                  <c:v>TN 03</c:v>
                </c:pt>
                <c:pt idx="2">
                  <c:v>TN 04</c:v>
                </c:pt>
                <c:pt idx="3">
                  <c:v>TN 29</c:v>
                </c:pt>
                <c:pt idx="4">
                  <c:v>TN 31</c:v>
                </c:pt>
                <c:pt idx="5">
                  <c:v>TN 72</c:v>
                </c:pt>
                <c:pt idx="6">
                  <c:v>TN 73</c:v>
                </c:pt>
                <c:pt idx="7">
                  <c:v>TN 74</c:v>
                </c:pt>
                <c:pt idx="8">
                  <c:v>TN 76</c:v>
                </c:pt>
                <c:pt idx="9">
                  <c:v>TN78</c:v>
                </c:pt>
              </c:strCache>
            </c:strRef>
          </c:cat>
          <c:val>
            <c:numRef>
              <c:f>FEVEREIRO!$G$29:$G$38</c:f>
              <c:numCache>
                <c:formatCode>0.00</c:formatCode>
                <c:ptCount val="10"/>
                <c:pt idx="0">
                  <c:v>-37122</c:v>
                </c:pt>
                <c:pt idx="1">
                  <c:v>-34615</c:v>
                </c:pt>
                <c:pt idx="2">
                  <c:v>-28821</c:v>
                </c:pt>
                <c:pt idx="3">
                  <c:v>0</c:v>
                </c:pt>
                <c:pt idx="4">
                  <c:v>-31278</c:v>
                </c:pt>
                <c:pt idx="5">
                  <c:v>0</c:v>
                </c:pt>
                <c:pt idx="6">
                  <c:v>-444</c:v>
                </c:pt>
                <c:pt idx="7">
                  <c:v>0</c:v>
                </c:pt>
                <c:pt idx="8">
                  <c:v>-28708</c:v>
                </c:pt>
                <c:pt idx="9">
                  <c:v>-124079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23-49D0-922E-EC4DE501C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460888"/>
        <c:axId val="209465984"/>
      </c:barChart>
      <c:catAx>
        <c:axId val="209460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65984"/>
        <c:crosses val="autoZero"/>
        <c:auto val="1"/>
        <c:lblAlgn val="ctr"/>
        <c:lblOffset val="100"/>
        <c:noMultiLvlLbl val="0"/>
      </c:catAx>
      <c:valAx>
        <c:axId val="20946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60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'MARÇO '!$G$28</c:f>
              <c:strCache>
                <c:ptCount val="1"/>
                <c:pt idx="0">
                  <c:v>ACUM.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'MARÇO '!$A$29:$A$38</c:f>
              <c:strCache>
                <c:ptCount val="10"/>
                <c:pt idx="0">
                  <c:v>TN 01</c:v>
                </c:pt>
                <c:pt idx="1">
                  <c:v>TN 03</c:v>
                </c:pt>
                <c:pt idx="2">
                  <c:v>TN 04</c:v>
                </c:pt>
                <c:pt idx="3">
                  <c:v>TN 29</c:v>
                </c:pt>
                <c:pt idx="4">
                  <c:v>TN 31</c:v>
                </c:pt>
                <c:pt idx="5">
                  <c:v>TN 72</c:v>
                </c:pt>
                <c:pt idx="6">
                  <c:v>TN 73</c:v>
                </c:pt>
                <c:pt idx="7">
                  <c:v>TN 74</c:v>
                </c:pt>
                <c:pt idx="8">
                  <c:v>TN 76</c:v>
                </c:pt>
                <c:pt idx="9">
                  <c:v>TN78</c:v>
                </c:pt>
              </c:strCache>
            </c:strRef>
          </c:cat>
          <c:val>
            <c:numRef>
              <c:f>'MARÇO '!$G$29:$G$38</c:f>
              <c:numCache>
                <c:formatCode>0.00</c:formatCode>
                <c:ptCount val="10"/>
                <c:pt idx="0">
                  <c:v>-38073</c:v>
                </c:pt>
                <c:pt idx="1">
                  <c:v>0</c:v>
                </c:pt>
                <c:pt idx="2">
                  <c:v>-32041</c:v>
                </c:pt>
                <c:pt idx="3">
                  <c:v>-52422</c:v>
                </c:pt>
                <c:pt idx="4">
                  <c:v>-32286</c:v>
                </c:pt>
                <c:pt idx="5">
                  <c:v>0</c:v>
                </c:pt>
                <c:pt idx="6">
                  <c:v>0</c:v>
                </c:pt>
                <c:pt idx="7">
                  <c:v>-33200</c:v>
                </c:pt>
                <c:pt idx="8">
                  <c:v>-30851</c:v>
                </c:pt>
                <c:pt idx="9">
                  <c:v>-126961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227-4D37-9DC2-DC2F59914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459712"/>
        <c:axId val="209458928"/>
      </c:barChart>
      <c:catAx>
        <c:axId val="20945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58928"/>
        <c:crosses val="autoZero"/>
        <c:auto val="1"/>
        <c:lblAlgn val="ctr"/>
        <c:lblOffset val="100"/>
        <c:noMultiLvlLbl val="0"/>
      </c:catAx>
      <c:valAx>
        <c:axId val="20945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5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'ABRIL '!$G$28</c:f>
              <c:strCache>
                <c:ptCount val="1"/>
                <c:pt idx="0">
                  <c:v>ACUM.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'ABRIL '!$A$29:$A$38</c:f>
              <c:strCache>
                <c:ptCount val="10"/>
                <c:pt idx="0">
                  <c:v>TN 01</c:v>
                </c:pt>
                <c:pt idx="1">
                  <c:v>TN 03</c:v>
                </c:pt>
                <c:pt idx="2">
                  <c:v>TN 04</c:v>
                </c:pt>
                <c:pt idx="3">
                  <c:v>TN 29</c:v>
                </c:pt>
                <c:pt idx="4">
                  <c:v>TN 31</c:v>
                </c:pt>
                <c:pt idx="5">
                  <c:v>TN 72</c:v>
                </c:pt>
                <c:pt idx="6">
                  <c:v>TN 73</c:v>
                </c:pt>
                <c:pt idx="7">
                  <c:v>TN 74</c:v>
                </c:pt>
                <c:pt idx="8">
                  <c:v>TN 76</c:v>
                </c:pt>
                <c:pt idx="9">
                  <c:v>TN78</c:v>
                </c:pt>
              </c:strCache>
            </c:strRef>
          </c:cat>
          <c:val>
            <c:numRef>
              <c:f>'ABRIL '!$G$29:$G$38</c:f>
              <c:numCache>
                <c:formatCode>0.00</c:formatCode>
                <c:ptCount val="10"/>
                <c:pt idx="0">
                  <c:v>0</c:v>
                </c:pt>
                <c:pt idx="1">
                  <c:v>-41769</c:v>
                </c:pt>
                <c:pt idx="2">
                  <c:v>-34611</c:v>
                </c:pt>
                <c:pt idx="3">
                  <c:v>-55211</c:v>
                </c:pt>
                <c:pt idx="4">
                  <c:v>-34580</c:v>
                </c:pt>
                <c:pt idx="5">
                  <c:v>0</c:v>
                </c:pt>
                <c:pt idx="6">
                  <c:v>0</c:v>
                </c:pt>
                <c:pt idx="7">
                  <c:v>-36130</c:v>
                </c:pt>
                <c:pt idx="8">
                  <c:v>-33247</c:v>
                </c:pt>
                <c:pt idx="9">
                  <c:v>-130221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F08-423C-A981-B73D624E6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463240"/>
        <c:axId val="209465592"/>
      </c:barChart>
      <c:catAx>
        <c:axId val="209463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65592"/>
        <c:crosses val="autoZero"/>
        <c:auto val="1"/>
        <c:lblAlgn val="ctr"/>
        <c:lblOffset val="100"/>
        <c:noMultiLvlLbl val="0"/>
      </c:catAx>
      <c:valAx>
        <c:axId val="20946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63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'MAIO '!$G$28</c:f>
              <c:strCache>
                <c:ptCount val="1"/>
                <c:pt idx="0">
                  <c:v>ACUM.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'MAIO '!$A$29:$A$38</c:f>
              <c:strCache>
                <c:ptCount val="10"/>
                <c:pt idx="0">
                  <c:v>TN 01</c:v>
                </c:pt>
                <c:pt idx="1">
                  <c:v>TN 03</c:v>
                </c:pt>
                <c:pt idx="2">
                  <c:v>TN 04</c:v>
                </c:pt>
                <c:pt idx="3">
                  <c:v>TN 29</c:v>
                </c:pt>
                <c:pt idx="4">
                  <c:v>TN 31</c:v>
                </c:pt>
                <c:pt idx="5">
                  <c:v>TN 72</c:v>
                </c:pt>
                <c:pt idx="6">
                  <c:v>TN 73</c:v>
                </c:pt>
                <c:pt idx="7">
                  <c:v>TN 74</c:v>
                </c:pt>
                <c:pt idx="8">
                  <c:v>TN 76</c:v>
                </c:pt>
                <c:pt idx="9">
                  <c:v>TN78</c:v>
                </c:pt>
              </c:strCache>
            </c:strRef>
          </c:cat>
          <c:val>
            <c:numRef>
              <c:f>'MAIO '!$G$29:$G$38</c:f>
              <c:numCache>
                <c:formatCode>0.00</c:formatCode>
                <c:ptCount val="10"/>
                <c:pt idx="0">
                  <c:v>0</c:v>
                </c:pt>
                <c:pt idx="1">
                  <c:v>-43945</c:v>
                </c:pt>
                <c:pt idx="2">
                  <c:v>-37864</c:v>
                </c:pt>
                <c:pt idx="3">
                  <c:v>-59231</c:v>
                </c:pt>
                <c:pt idx="4">
                  <c:v>0</c:v>
                </c:pt>
                <c:pt idx="5">
                  <c:v>-126963</c:v>
                </c:pt>
                <c:pt idx="6">
                  <c:v>-1864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ED4-4204-97B9-AA6B44048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465200"/>
        <c:axId val="209460496"/>
      </c:barChart>
      <c:catAx>
        <c:axId val="20946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60496"/>
        <c:crosses val="autoZero"/>
        <c:auto val="1"/>
        <c:lblAlgn val="ctr"/>
        <c:lblOffset val="100"/>
        <c:noMultiLvlLbl val="0"/>
      </c:catAx>
      <c:valAx>
        <c:axId val="20946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6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JUNHO!$G$28</c:f>
              <c:strCache>
                <c:ptCount val="1"/>
                <c:pt idx="0">
                  <c:v>ACUM.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JUNHO!$A$29:$A$38</c:f>
              <c:strCache>
                <c:ptCount val="10"/>
                <c:pt idx="0">
                  <c:v>TN 01</c:v>
                </c:pt>
                <c:pt idx="1">
                  <c:v>TN 03</c:v>
                </c:pt>
                <c:pt idx="2">
                  <c:v>TN 04</c:v>
                </c:pt>
                <c:pt idx="3">
                  <c:v>TN 29</c:v>
                </c:pt>
                <c:pt idx="4">
                  <c:v>TN 31</c:v>
                </c:pt>
                <c:pt idx="5">
                  <c:v>TN 72</c:v>
                </c:pt>
                <c:pt idx="6">
                  <c:v>TN 73</c:v>
                </c:pt>
                <c:pt idx="7">
                  <c:v>TN 74</c:v>
                </c:pt>
                <c:pt idx="8">
                  <c:v>TN 76</c:v>
                </c:pt>
                <c:pt idx="9">
                  <c:v>TN78</c:v>
                </c:pt>
              </c:strCache>
            </c:strRef>
          </c:cat>
          <c:val>
            <c:numRef>
              <c:f>JUNHO!$G$29:$G$38</c:f>
              <c:numCache>
                <c:formatCode>0.00</c:formatCode>
                <c:ptCount val="10"/>
                <c:pt idx="0">
                  <c:v>-1519</c:v>
                </c:pt>
                <c:pt idx="1">
                  <c:v>-47764</c:v>
                </c:pt>
                <c:pt idx="2">
                  <c:v>-40416</c:v>
                </c:pt>
                <c:pt idx="3">
                  <c:v>0</c:v>
                </c:pt>
                <c:pt idx="4">
                  <c:v>-38383</c:v>
                </c:pt>
                <c:pt idx="5">
                  <c:v>-131025</c:v>
                </c:pt>
                <c:pt idx="6">
                  <c:v>-4235</c:v>
                </c:pt>
                <c:pt idx="7">
                  <c:v>-42411</c:v>
                </c:pt>
                <c:pt idx="8">
                  <c:v>0</c:v>
                </c:pt>
                <c:pt idx="9">
                  <c:v>-138448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A-4016-864A-ADF6B76B1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458536"/>
        <c:axId val="209461280"/>
      </c:barChart>
      <c:catAx>
        <c:axId val="209458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61280"/>
        <c:crosses val="autoZero"/>
        <c:auto val="1"/>
        <c:lblAlgn val="ctr"/>
        <c:lblOffset val="100"/>
        <c:noMultiLvlLbl val="0"/>
      </c:catAx>
      <c:valAx>
        <c:axId val="20946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58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ACUMULADO MÊS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JULHO!$G$28</c:f>
              <c:strCache>
                <c:ptCount val="1"/>
                <c:pt idx="0">
                  <c:v>ACUM.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JULHO!$A$29:$A$38</c:f>
              <c:strCache>
                <c:ptCount val="10"/>
                <c:pt idx="0">
                  <c:v>TN 01</c:v>
                </c:pt>
                <c:pt idx="1">
                  <c:v>TN 03</c:v>
                </c:pt>
                <c:pt idx="2">
                  <c:v>TN 04</c:v>
                </c:pt>
                <c:pt idx="3">
                  <c:v>TN 29</c:v>
                </c:pt>
                <c:pt idx="4">
                  <c:v>TN 31</c:v>
                </c:pt>
                <c:pt idx="5">
                  <c:v>TN 72</c:v>
                </c:pt>
                <c:pt idx="6">
                  <c:v>TN 73</c:v>
                </c:pt>
                <c:pt idx="7">
                  <c:v>TN 74</c:v>
                </c:pt>
                <c:pt idx="8">
                  <c:v>TN 76</c:v>
                </c:pt>
                <c:pt idx="9">
                  <c:v>TN78</c:v>
                </c:pt>
              </c:strCache>
            </c:strRef>
          </c:cat>
          <c:val>
            <c:numRef>
              <c:f>JULHO!$G$29:$G$38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-64365</c:v>
                </c:pt>
                <c:pt idx="4">
                  <c:v>0</c:v>
                </c:pt>
                <c:pt idx="5">
                  <c:v>0</c:v>
                </c:pt>
                <c:pt idx="6">
                  <c:v>-5485</c:v>
                </c:pt>
                <c:pt idx="7">
                  <c:v>-45046</c:v>
                </c:pt>
                <c:pt idx="8">
                  <c:v>0</c:v>
                </c:pt>
                <c:pt idx="9">
                  <c:v>-141141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D8-4169-A08B-0EE0BF41B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460104"/>
        <c:axId val="211133112"/>
      </c:barChart>
      <c:catAx>
        <c:axId val="209460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133112"/>
        <c:crosses val="autoZero"/>
        <c:auto val="1"/>
        <c:lblAlgn val="ctr"/>
        <c:lblOffset val="100"/>
        <c:noMultiLvlLbl val="0"/>
      </c:catAx>
      <c:valAx>
        <c:axId val="21113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60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ACUMULADO MÊS.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AGOSTO!$G$27</c:f>
              <c:strCache>
                <c:ptCount val="1"/>
                <c:pt idx="0">
                  <c:v>ACUM.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AGOSTO!$A$28:$A$36</c:f>
              <c:strCache>
                <c:ptCount val="9"/>
                <c:pt idx="0">
                  <c:v>TN 01</c:v>
                </c:pt>
                <c:pt idx="1">
                  <c:v>TN 03</c:v>
                </c:pt>
                <c:pt idx="2">
                  <c:v>TN 04</c:v>
                </c:pt>
                <c:pt idx="3">
                  <c:v>TN 29</c:v>
                </c:pt>
                <c:pt idx="4">
                  <c:v>TN 31</c:v>
                </c:pt>
                <c:pt idx="5">
                  <c:v>TN 72</c:v>
                </c:pt>
                <c:pt idx="6">
                  <c:v>TN 73</c:v>
                </c:pt>
                <c:pt idx="7">
                  <c:v>TN 74</c:v>
                </c:pt>
                <c:pt idx="8">
                  <c:v>TN78</c:v>
                </c:pt>
              </c:strCache>
            </c:strRef>
          </c:cat>
          <c:val>
            <c:numRef>
              <c:f>AGOSTO!$G$28:$G$36</c:f>
              <c:numCache>
                <c:formatCode>0.00</c:formatCode>
                <c:ptCount val="9"/>
                <c:pt idx="0">
                  <c:v>0</c:v>
                </c:pt>
                <c:pt idx="1">
                  <c:v>-51951</c:v>
                </c:pt>
                <c:pt idx="2">
                  <c:v>-43927</c:v>
                </c:pt>
                <c:pt idx="3">
                  <c:v>-68189</c:v>
                </c:pt>
                <c:pt idx="4">
                  <c:v>-41324</c:v>
                </c:pt>
                <c:pt idx="5">
                  <c:v>-3496</c:v>
                </c:pt>
                <c:pt idx="6">
                  <c:v>0</c:v>
                </c:pt>
                <c:pt idx="7">
                  <c:v>-7168</c:v>
                </c:pt>
                <c:pt idx="8">
                  <c:v>-145668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F1-44FD-901C-99A75FF9CF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1137032"/>
        <c:axId val="211132328"/>
      </c:barChart>
      <c:catAx>
        <c:axId val="211137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132328"/>
        <c:crosses val="autoZero"/>
        <c:auto val="1"/>
        <c:lblAlgn val="ctr"/>
        <c:lblOffset val="100"/>
        <c:noMultiLvlLbl val="0"/>
      </c:catAx>
      <c:valAx>
        <c:axId val="211132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137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119846</xdr:colOff>
      <xdr:row>25</xdr:row>
      <xdr:rowOff>32555</xdr:rowOff>
    </xdr:from>
    <xdr:to>
      <xdr:col>13</xdr:col>
      <xdr:colOff>622480</xdr:colOff>
      <xdr:row>38</xdr:row>
      <xdr:rowOff>155262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xmlns="" id="{78E089EE-7E3D-B23B-3EC9-118E90D61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119846</xdr:colOff>
      <xdr:row>25</xdr:row>
      <xdr:rowOff>32555</xdr:rowOff>
    </xdr:from>
    <xdr:to>
      <xdr:col>13</xdr:col>
      <xdr:colOff>622480</xdr:colOff>
      <xdr:row>38</xdr:row>
      <xdr:rowOff>155262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ACDE6F51-4CD2-48AA-A7C4-293C6102A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119846</xdr:colOff>
      <xdr:row>25</xdr:row>
      <xdr:rowOff>32555</xdr:rowOff>
    </xdr:from>
    <xdr:to>
      <xdr:col>13</xdr:col>
      <xdr:colOff>622480</xdr:colOff>
      <xdr:row>38</xdr:row>
      <xdr:rowOff>155262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341D8B3F-50C9-414D-BA27-DF754A27F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119846</xdr:colOff>
      <xdr:row>25</xdr:row>
      <xdr:rowOff>32555</xdr:rowOff>
    </xdr:from>
    <xdr:to>
      <xdr:col>13</xdr:col>
      <xdr:colOff>622480</xdr:colOff>
      <xdr:row>38</xdr:row>
      <xdr:rowOff>155262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1B152451-336D-4961-9793-5CA0FB0D8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119846</xdr:colOff>
      <xdr:row>25</xdr:row>
      <xdr:rowOff>32555</xdr:rowOff>
    </xdr:from>
    <xdr:to>
      <xdr:col>13</xdr:col>
      <xdr:colOff>622480</xdr:colOff>
      <xdr:row>38</xdr:row>
      <xdr:rowOff>155262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E5B19E2C-092B-41D2-A0BD-D7BAD66D6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119846</xdr:colOff>
      <xdr:row>25</xdr:row>
      <xdr:rowOff>32555</xdr:rowOff>
    </xdr:from>
    <xdr:to>
      <xdr:col>13</xdr:col>
      <xdr:colOff>622480</xdr:colOff>
      <xdr:row>38</xdr:row>
      <xdr:rowOff>155262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F26F776E-4A1B-4233-B936-7F545439D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119846</xdr:colOff>
      <xdr:row>25</xdr:row>
      <xdr:rowOff>32555</xdr:rowOff>
    </xdr:from>
    <xdr:to>
      <xdr:col>13</xdr:col>
      <xdr:colOff>622480</xdr:colOff>
      <xdr:row>38</xdr:row>
      <xdr:rowOff>155262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4D08BF1-C123-4C3C-BC51-C84B129C3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119846</xdr:colOff>
      <xdr:row>25</xdr:row>
      <xdr:rowOff>32555</xdr:rowOff>
    </xdr:from>
    <xdr:to>
      <xdr:col>13</xdr:col>
      <xdr:colOff>622480</xdr:colOff>
      <xdr:row>38</xdr:row>
      <xdr:rowOff>155262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E2D7435F-A7AE-4145-AA36-B884233FF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119846</xdr:colOff>
      <xdr:row>25</xdr:row>
      <xdr:rowOff>32555</xdr:rowOff>
    </xdr:from>
    <xdr:to>
      <xdr:col>13</xdr:col>
      <xdr:colOff>622480</xdr:colOff>
      <xdr:row>38</xdr:row>
      <xdr:rowOff>155262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1F3E146B-E0A9-42B7-8773-7B955406E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119846</xdr:colOff>
      <xdr:row>24</xdr:row>
      <xdr:rowOff>32555</xdr:rowOff>
    </xdr:from>
    <xdr:to>
      <xdr:col>13</xdr:col>
      <xdr:colOff>622480</xdr:colOff>
      <xdr:row>36</xdr:row>
      <xdr:rowOff>155262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FC13EB5A-71D0-46AC-AA17-026AE422D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an Rodrigues De Almeida" id="{FC15B7A9-7A06-4A8E-9CA9-215430A27833}" userId="S::josean.rodrigues@sonda.com::6b06e007-7818-4e41-8931-e137d4d229c9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8" dT="2024-12-13T13:20:56.21" personId="{FC15B7A9-7A06-4A8E-9CA9-215430A27833}" id="{E8ABC1AD-BDBA-4F50-9F94-DAF50EA48223}">
    <text>Veículo em revisão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8" dT="2024-12-13T13:20:56.21" personId="{FC15B7A9-7A06-4A8E-9CA9-215430A27833}" id="{A5D0D4C2-AD84-457E-911E-1CAB365A2126}">
    <text>Veículo em revisão</text>
  </threadedComment>
  <threadedComment ref="K8" dT="2024-12-13T13:20:56.21" personId="{FC15B7A9-7A06-4A8E-9CA9-215430A27833}" id="{6743AAC8-01A1-491B-8174-A1FB832B15B1}">
    <text>Veículo em revisão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8" dT="2024-12-13T13:20:56.21" personId="{FC15B7A9-7A06-4A8E-9CA9-215430A27833}" id="{F25A204B-52C6-4850-ADD5-5B7BD2D3A32D}">
    <text>Veículo em revisão</text>
  </threadedComment>
  <threadedComment ref="K8" dT="2024-12-13T13:20:56.21" personId="{FC15B7A9-7A06-4A8E-9CA9-215430A27833}" id="{AD3A3DC0-7D35-4B55-ABC2-BAA7A84147E1}">
    <text>Veículo em revisão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J8" dT="2024-12-13T13:20:56.21" personId="{FC15B7A9-7A06-4A8E-9CA9-215430A27833}" id="{D0C4B5EC-DF50-4AB7-AA7F-AAC3C0669545}">
    <text>Veículo em revisão</text>
  </threadedComment>
  <threadedComment ref="K8" dT="2024-12-13T13:20:56.21" personId="{FC15B7A9-7A06-4A8E-9CA9-215430A27833}" id="{F729397B-B7A6-4829-8076-38C7728E53C3}">
    <text>Veículo em revisão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8" dT="2024-12-13T13:20:56.21" personId="{FC15B7A9-7A06-4A8E-9CA9-215430A27833}" id="{ED6875E9-F6A5-4E29-BE0C-BA484DC4A5D2}">
    <text>Veículo em revisão</text>
  </threadedComment>
  <threadedComment ref="K8" dT="2024-12-13T13:20:56.21" personId="{FC15B7A9-7A06-4A8E-9CA9-215430A27833}" id="{A5FE2FB1-795E-491A-AB03-CEDF72B1B60E}">
    <text>Veículo em revisão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J8" dT="2024-12-13T13:20:56.21" personId="{FC15B7A9-7A06-4A8E-9CA9-215430A27833}" id="{C9D04906-D913-400F-AFF7-8C82B49D6A63}">
    <text>Veículo em revisão</text>
  </threadedComment>
  <threadedComment ref="K8" dT="2024-12-13T13:20:56.21" personId="{FC15B7A9-7A06-4A8E-9CA9-215430A27833}" id="{EB4032F3-BDC7-4633-A184-38679B3E9512}">
    <text>Veículo em revisão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J8" dT="2024-12-13T13:20:56.21" personId="{FC15B7A9-7A06-4A8E-9CA9-215430A27833}" id="{D904A939-B44C-4EF7-A66F-95802E834E5F}">
    <text>Veículo em revisão</text>
  </threadedComment>
  <threadedComment ref="K8" dT="2024-12-13T13:20:56.21" personId="{FC15B7A9-7A06-4A8E-9CA9-215430A27833}" id="{07B677D2-F6D6-48D0-B7FF-D8C1179AD4C2}">
    <text>Veículo em revisão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J8" dT="2024-12-13T13:20:56.21" personId="{FC15B7A9-7A06-4A8E-9CA9-215430A27833}" id="{AF985B2F-EFB1-4037-9CB6-F6817C5F3070}">
    <text>Veículo em revisão</text>
  </threadedComment>
  <threadedComment ref="K8" dT="2024-12-13T13:20:56.21" personId="{FC15B7A9-7A06-4A8E-9CA9-215430A27833}" id="{2A1B3E75-A7BC-4149-8A7C-E47C965715EE}">
    <text>Veículo em revisão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16"/>
  <sheetViews>
    <sheetView topLeftCell="A2" zoomScale="90" zoomScaleNormal="90" workbookViewId="0">
      <selection activeCell="D27" sqref="D27"/>
    </sheetView>
  </sheetViews>
  <sheetFormatPr defaultRowHeight="14.3"/>
  <cols>
    <col min="1" max="1" width="14.5" customWidth="1"/>
    <col min="2" max="2" width="18.5" bestFit="1" customWidth="1"/>
    <col min="3" max="3" width="8.5" customWidth="1"/>
    <col min="4" max="4" width="12.5" customWidth="1"/>
    <col min="5" max="5" width="11.5" customWidth="1"/>
    <col min="6" max="7" width="12.5" customWidth="1"/>
    <col min="8" max="8" width="18.5" bestFit="1" customWidth="1"/>
    <col min="9" max="10" width="20.5" customWidth="1"/>
    <col min="11" max="11" width="17.5" customWidth="1"/>
    <col min="12" max="12" width="12.875" customWidth="1"/>
    <col min="14" max="14" width="12.125" customWidth="1"/>
  </cols>
  <sheetData>
    <row r="2" spans="1:12" ht="41.45" customHeight="1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7.7" customHeight="1">
      <c r="A3" s="290" t="s">
        <v>1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</row>
    <row r="4" spans="1:12" ht="1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2" t="s">
        <v>13</v>
      </c>
    </row>
    <row r="5" spans="1:12" ht="14.1" customHeight="1">
      <c r="A5" s="3" t="s">
        <v>14</v>
      </c>
      <c r="B5" s="5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10" t="s">
        <v>21</v>
      </c>
      <c r="I5" s="7">
        <v>45639</v>
      </c>
      <c r="J5" s="13">
        <v>139318</v>
      </c>
      <c r="K5" s="13">
        <v>141017</v>
      </c>
      <c r="L5" s="4">
        <v>45799</v>
      </c>
    </row>
    <row r="6" spans="1:12">
      <c r="A6" s="11" t="s">
        <v>14</v>
      </c>
      <c r="B6" s="6" t="s">
        <v>22</v>
      </c>
      <c r="C6" s="11" t="s">
        <v>23</v>
      </c>
      <c r="D6" s="11" t="s">
        <v>24</v>
      </c>
      <c r="E6" s="11" t="s">
        <v>18</v>
      </c>
      <c r="F6" s="11" t="s">
        <v>25</v>
      </c>
      <c r="G6" s="11" t="s">
        <v>20</v>
      </c>
      <c r="H6" s="12" t="s">
        <v>26</v>
      </c>
      <c r="I6" s="7">
        <v>45639</v>
      </c>
      <c r="J6" s="13"/>
      <c r="K6" s="13">
        <v>46959</v>
      </c>
      <c r="L6" s="7">
        <v>45657</v>
      </c>
    </row>
    <row r="7" spans="1:12">
      <c r="A7" s="6" t="s">
        <v>14</v>
      </c>
      <c r="B7" s="6" t="s">
        <v>27</v>
      </c>
      <c r="C7" s="6" t="s">
        <v>28</v>
      </c>
      <c r="D7" s="6" t="s">
        <v>17</v>
      </c>
      <c r="E7" s="6" t="s">
        <v>18</v>
      </c>
      <c r="F7" s="6" t="s">
        <v>29</v>
      </c>
      <c r="G7" s="6" t="s">
        <v>20</v>
      </c>
      <c r="H7" s="6" t="s">
        <v>30</v>
      </c>
      <c r="I7" s="7">
        <v>45639</v>
      </c>
      <c r="J7" s="13">
        <v>77589</v>
      </c>
      <c r="K7" s="13">
        <v>78474</v>
      </c>
      <c r="L7" s="7">
        <v>45835</v>
      </c>
    </row>
    <row r="8" spans="1:12">
      <c r="A8" s="14" t="s">
        <v>14</v>
      </c>
      <c r="B8" s="14" t="s">
        <v>31</v>
      </c>
      <c r="C8" s="14" t="s">
        <v>32</v>
      </c>
      <c r="D8" s="14" t="s">
        <v>24</v>
      </c>
      <c r="E8" s="14" t="s">
        <v>18</v>
      </c>
      <c r="F8" s="14" t="s">
        <v>33</v>
      </c>
      <c r="G8" s="14" t="s">
        <v>20</v>
      </c>
      <c r="H8" s="14" t="s">
        <v>34</v>
      </c>
      <c r="I8" s="15">
        <v>45632</v>
      </c>
      <c r="J8" s="16">
        <v>19446</v>
      </c>
      <c r="K8" s="16">
        <v>20284</v>
      </c>
      <c r="L8" s="15">
        <v>45657</v>
      </c>
    </row>
    <row r="9" spans="1:12">
      <c r="A9" s="6" t="s">
        <v>35</v>
      </c>
      <c r="B9" s="11" t="s">
        <v>36</v>
      </c>
      <c r="C9" s="11" t="s">
        <v>37</v>
      </c>
      <c r="D9" s="11" t="s">
        <v>38</v>
      </c>
      <c r="E9" s="11" t="s">
        <v>18</v>
      </c>
      <c r="F9" s="11" t="s">
        <v>39</v>
      </c>
      <c r="G9" s="11" t="s">
        <v>20</v>
      </c>
      <c r="H9" s="6" t="s">
        <v>40</v>
      </c>
      <c r="I9" s="7">
        <v>45639</v>
      </c>
      <c r="J9" s="13">
        <v>34243</v>
      </c>
      <c r="K9" s="13">
        <v>35371</v>
      </c>
      <c r="L9" s="7">
        <v>45889</v>
      </c>
    </row>
    <row r="10" spans="1:12">
      <c r="A10" s="6" t="s">
        <v>14</v>
      </c>
      <c r="B10" s="11" t="s">
        <v>31</v>
      </c>
      <c r="C10" s="6" t="s">
        <v>41</v>
      </c>
      <c r="D10" s="6" t="s">
        <v>24</v>
      </c>
      <c r="E10" s="6" t="s">
        <v>18</v>
      </c>
      <c r="F10" s="6" t="s">
        <v>42</v>
      </c>
      <c r="G10" s="6" t="s">
        <v>20</v>
      </c>
      <c r="H10" s="6" t="s">
        <v>43</v>
      </c>
      <c r="I10" s="7">
        <v>45639</v>
      </c>
      <c r="J10" s="13">
        <v>31303</v>
      </c>
      <c r="K10" s="13">
        <v>31562</v>
      </c>
      <c r="L10" s="7">
        <v>45657</v>
      </c>
    </row>
    <row r="11" spans="1:12">
      <c r="A11" s="6" t="s">
        <v>14</v>
      </c>
      <c r="B11" s="11" t="s">
        <v>31</v>
      </c>
      <c r="C11" s="6" t="s">
        <v>44</v>
      </c>
      <c r="D11" s="6" t="s">
        <v>24</v>
      </c>
      <c r="E11" s="6" t="s">
        <v>18</v>
      </c>
      <c r="F11" s="6" t="s">
        <v>45</v>
      </c>
      <c r="G11" s="6" t="s">
        <v>20</v>
      </c>
      <c r="H11" s="6" t="s">
        <v>46</v>
      </c>
      <c r="I11" s="7">
        <v>45639</v>
      </c>
      <c r="J11" s="13">
        <v>18647</v>
      </c>
      <c r="K11" s="13">
        <v>72605</v>
      </c>
      <c r="L11" s="7">
        <v>45657</v>
      </c>
    </row>
    <row r="12" spans="1:12">
      <c r="A12" s="6" t="s">
        <v>14</v>
      </c>
      <c r="B12" s="11" t="s">
        <v>31</v>
      </c>
      <c r="C12" s="6" t="s">
        <v>47</v>
      </c>
      <c r="D12" s="6" t="s">
        <v>24</v>
      </c>
      <c r="E12" s="6" t="s">
        <v>18</v>
      </c>
      <c r="F12" s="6" t="s">
        <v>48</v>
      </c>
      <c r="G12" s="6" t="s">
        <v>20</v>
      </c>
      <c r="H12" s="6" t="s">
        <v>46</v>
      </c>
      <c r="I12" s="7">
        <v>45639</v>
      </c>
      <c r="J12" s="13">
        <v>50107</v>
      </c>
      <c r="K12" s="13">
        <v>51087</v>
      </c>
      <c r="L12" s="7">
        <v>45657</v>
      </c>
    </row>
    <row r="13" spans="1:12">
      <c r="A13" s="6" t="s">
        <v>14</v>
      </c>
      <c r="B13" s="11" t="s">
        <v>31</v>
      </c>
      <c r="C13" s="6" t="s">
        <v>49</v>
      </c>
      <c r="D13" s="6" t="s">
        <v>24</v>
      </c>
      <c r="E13" s="6" t="s">
        <v>18</v>
      </c>
      <c r="F13" s="6" t="s">
        <v>50</v>
      </c>
      <c r="G13" s="6" t="s">
        <v>20</v>
      </c>
      <c r="H13" s="6" t="s">
        <v>51</v>
      </c>
      <c r="I13" s="7">
        <v>45639</v>
      </c>
      <c r="K13" s="13">
        <v>80822</v>
      </c>
      <c r="L13" s="7">
        <v>45657</v>
      </c>
    </row>
    <row r="14" spans="1:12">
      <c r="A14" s="5" t="s">
        <v>14</v>
      </c>
      <c r="B14" s="6" t="s">
        <v>22</v>
      </c>
      <c r="C14" s="5" t="s">
        <v>52</v>
      </c>
      <c r="D14" s="5" t="s">
        <v>24</v>
      </c>
      <c r="E14" s="5" t="s">
        <v>18</v>
      </c>
      <c r="F14" s="5" t="s">
        <v>53</v>
      </c>
      <c r="G14" s="5" t="s">
        <v>20</v>
      </c>
      <c r="H14" s="5" t="s">
        <v>54</v>
      </c>
      <c r="I14" s="7">
        <v>45639</v>
      </c>
      <c r="J14" s="13">
        <v>33076</v>
      </c>
      <c r="K14" s="13">
        <v>34079</v>
      </c>
      <c r="L14" s="4">
        <v>45657</v>
      </c>
    </row>
    <row r="15" spans="1:12">
      <c r="A15" s="292" t="s">
        <v>55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294"/>
    </row>
    <row r="16" spans="1:12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56</v>
      </c>
      <c r="J16" s="1"/>
      <c r="K16" s="1" t="s">
        <v>57</v>
      </c>
      <c r="L16" s="2" t="s">
        <v>13</v>
      </c>
    </row>
  </sheetData>
  <mergeCells count="2">
    <mergeCell ref="A3:L3"/>
    <mergeCell ref="A15:L1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16"/>
  <sheetViews>
    <sheetView topLeftCell="A2" zoomScale="90" zoomScaleNormal="90" workbookViewId="0">
      <selection activeCell="J14" sqref="J14"/>
    </sheetView>
  </sheetViews>
  <sheetFormatPr defaultRowHeight="14.3"/>
  <cols>
    <col min="1" max="1" width="14.5" customWidth="1"/>
    <col min="2" max="2" width="18.5" bestFit="1" customWidth="1"/>
    <col min="3" max="3" width="8.5" customWidth="1"/>
    <col min="4" max="4" width="12.5" customWidth="1"/>
    <col min="5" max="5" width="11.5" customWidth="1"/>
    <col min="6" max="7" width="12.5" customWidth="1"/>
    <col min="8" max="8" width="18.5" bestFit="1" customWidth="1"/>
    <col min="9" max="10" width="20.5" customWidth="1"/>
    <col min="11" max="11" width="17.5" customWidth="1"/>
    <col min="12" max="12" width="12.875" customWidth="1"/>
    <col min="14" max="14" width="12.125" customWidth="1"/>
  </cols>
  <sheetData>
    <row r="2" spans="1:12" ht="41.45" customHeight="1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7.7" customHeight="1">
      <c r="A3" s="290" t="s">
        <v>1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</row>
    <row r="4" spans="1:12" ht="1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2" t="s">
        <v>13</v>
      </c>
    </row>
    <row r="5" spans="1:12" ht="14.1" customHeight="1">
      <c r="A5" s="3" t="s">
        <v>14</v>
      </c>
      <c r="B5" s="5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10" t="s">
        <v>21</v>
      </c>
      <c r="I5" s="7">
        <v>45646</v>
      </c>
      <c r="J5" s="13">
        <v>141017</v>
      </c>
      <c r="K5" s="13">
        <v>141617</v>
      </c>
      <c r="L5" s="4">
        <v>45799</v>
      </c>
    </row>
    <row r="6" spans="1:12">
      <c r="A6" s="11" t="s">
        <v>14</v>
      </c>
      <c r="B6" s="6" t="s">
        <v>22</v>
      </c>
      <c r="C6" s="11" t="s">
        <v>23</v>
      </c>
      <c r="D6" s="11" t="s">
        <v>24</v>
      </c>
      <c r="E6" s="11" t="s">
        <v>18</v>
      </c>
      <c r="F6" s="11" t="s">
        <v>25</v>
      </c>
      <c r="G6" s="11" t="s">
        <v>20</v>
      </c>
      <c r="H6" s="12" t="s">
        <v>26</v>
      </c>
      <c r="I6" s="7">
        <v>45646</v>
      </c>
      <c r="J6" s="13">
        <v>46959</v>
      </c>
      <c r="K6" s="13">
        <v>47588</v>
      </c>
      <c r="L6" s="7">
        <v>45657</v>
      </c>
    </row>
    <row r="7" spans="1:12">
      <c r="A7" s="6" t="s">
        <v>14</v>
      </c>
      <c r="B7" s="6" t="s">
        <v>27</v>
      </c>
      <c r="C7" s="6" t="s">
        <v>28</v>
      </c>
      <c r="D7" s="6" t="s">
        <v>17</v>
      </c>
      <c r="E7" s="6" t="s">
        <v>18</v>
      </c>
      <c r="F7" s="6" t="s">
        <v>29</v>
      </c>
      <c r="G7" s="6" t="s">
        <v>20</v>
      </c>
      <c r="H7" s="6" t="s">
        <v>30</v>
      </c>
      <c r="I7" s="7">
        <v>45646</v>
      </c>
      <c r="J7" s="13">
        <v>78474</v>
      </c>
      <c r="K7" s="13">
        <v>78891</v>
      </c>
      <c r="L7" s="7">
        <v>45835</v>
      </c>
    </row>
    <row r="8" spans="1:12">
      <c r="A8" s="14" t="s">
        <v>14</v>
      </c>
      <c r="B8" s="14" t="s">
        <v>31</v>
      </c>
      <c r="C8" s="14" t="s">
        <v>32</v>
      </c>
      <c r="D8" s="14" t="s">
        <v>24</v>
      </c>
      <c r="E8" s="14" t="s">
        <v>18</v>
      </c>
      <c r="F8" s="14" t="s">
        <v>33</v>
      </c>
      <c r="G8" s="14" t="s">
        <v>20</v>
      </c>
      <c r="H8" s="14" t="s">
        <v>34</v>
      </c>
      <c r="I8" s="15">
        <v>45646</v>
      </c>
      <c r="J8" s="16">
        <v>20284</v>
      </c>
      <c r="K8" s="16">
        <v>21408</v>
      </c>
      <c r="L8" s="15">
        <v>45657</v>
      </c>
    </row>
    <row r="9" spans="1:12">
      <c r="A9" s="6" t="s">
        <v>35</v>
      </c>
      <c r="B9" s="11" t="s">
        <v>36</v>
      </c>
      <c r="C9" s="11" t="s">
        <v>37</v>
      </c>
      <c r="D9" s="11" t="s">
        <v>38</v>
      </c>
      <c r="E9" s="11" t="s">
        <v>18</v>
      </c>
      <c r="F9" s="11" t="s">
        <v>39</v>
      </c>
      <c r="G9" s="11" t="s">
        <v>20</v>
      </c>
      <c r="H9" s="6" t="s">
        <v>40</v>
      </c>
      <c r="I9" s="7">
        <v>45646</v>
      </c>
      <c r="J9" s="13">
        <v>35371</v>
      </c>
      <c r="K9" s="13">
        <v>35693</v>
      </c>
      <c r="L9" s="7">
        <v>45889</v>
      </c>
    </row>
    <row r="10" spans="1:12">
      <c r="A10" s="6" t="s">
        <v>14</v>
      </c>
      <c r="B10" s="11" t="s">
        <v>31</v>
      </c>
      <c r="C10" s="6" t="s">
        <v>41</v>
      </c>
      <c r="D10" s="6" t="s">
        <v>24</v>
      </c>
      <c r="E10" s="6" t="s">
        <v>18</v>
      </c>
      <c r="F10" s="6" t="s">
        <v>42</v>
      </c>
      <c r="G10" s="6" t="s">
        <v>20</v>
      </c>
      <c r="H10" s="6" t="s">
        <v>43</v>
      </c>
      <c r="I10" s="7">
        <v>45646</v>
      </c>
      <c r="J10" s="13">
        <v>31562</v>
      </c>
      <c r="K10" s="13">
        <v>33194</v>
      </c>
      <c r="L10" s="7">
        <v>45657</v>
      </c>
    </row>
    <row r="11" spans="1:12">
      <c r="A11" s="6" t="s">
        <v>14</v>
      </c>
      <c r="B11" s="11" t="s">
        <v>31</v>
      </c>
      <c r="C11" s="6" t="s">
        <v>44</v>
      </c>
      <c r="D11" s="6" t="s">
        <v>24</v>
      </c>
      <c r="E11" s="6" t="s">
        <v>18</v>
      </c>
      <c r="F11" s="6" t="s">
        <v>45</v>
      </c>
      <c r="G11" s="6" t="s">
        <v>20</v>
      </c>
      <c r="H11" s="6" t="s">
        <v>46</v>
      </c>
      <c r="I11" s="7">
        <v>45646</v>
      </c>
      <c r="J11" s="13">
        <v>72605</v>
      </c>
      <c r="K11" s="13">
        <v>73010</v>
      </c>
      <c r="L11" s="7">
        <v>45657</v>
      </c>
    </row>
    <row r="12" spans="1:12">
      <c r="A12" s="6" t="s">
        <v>14</v>
      </c>
      <c r="B12" s="11" t="s">
        <v>31</v>
      </c>
      <c r="C12" s="6" t="s">
        <v>47</v>
      </c>
      <c r="D12" s="6" t="s">
        <v>24</v>
      </c>
      <c r="E12" s="6" t="s">
        <v>18</v>
      </c>
      <c r="F12" s="6" t="s">
        <v>48</v>
      </c>
      <c r="G12" s="6" t="s">
        <v>20</v>
      </c>
      <c r="H12" s="6" t="s">
        <v>46</v>
      </c>
      <c r="I12" s="7">
        <v>45646</v>
      </c>
      <c r="J12" s="13">
        <v>51087</v>
      </c>
      <c r="K12" s="13">
        <v>51302</v>
      </c>
      <c r="L12" s="7">
        <v>45657</v>
      </c>
    </row>
    <row r="13" spans="1:12">
      <c r="A13" s="6" t="s">
        <v>14</v>
      </c>
      <c r="B13" s="11" t="s">
        <v>31</v>
      </c>
      <c r="C13" s="6" t="s">
        <v>49</v>
      </c>
      <c r="D13" s="6" t="s">
        <v>24</v>
      </c>
      <c r="E13" s="6" t="s">
        <v>18</v>
      </c>
      <c r="F13" s="6" t="s">
        <v>50</v>
      </c>
      <c r="G13" s="6" t="s">
        <v>20</v>
      </c>
      <c r="H13" s="6" t="s">
        <v>51</v>
      </c>
      <c r="I13" s="7">
        <v>45646</v>
      </c>
      <c r="J13" s="13">
        <v>80822</v>
      </c>
      <c r="K13" s="13">
        <v>81494</v>
      </c>
      <c r="L13" s="7">
        <v>45657</v>
      </c>
    </row>
    <row r="14" spans="1:12">
      <c r="A14" s="5" t="s">
        <v>14</v>
      </c>
      <c r="B14" s="6" t="s">
        <v>22</v>
      </c>
      <c r="C14" s="5" t="s">
        <v>52</v>
      </c>
      <c r="D14" s="5" t="s">
        <v>24</v>
      </c>
      <c r="E14" s="5" t="s">
        <v>18</v>
      </c>
      <c r="F14" s="5" t="s">
        <v>53</v>
      </c>
      <c r="G14" s="5" t="s">
        <v>20</v>
      </c>
      <c r="H14" s="5" t="s">
        <v>54</v>
      </c>
      <c r="I14" s="7">
        <v>45646</v>
      </c>
      <c r="J14" s="13">
        <v>34079</v>
      </c>
      <c r="K14" s="13">
        <v>34547</v>
      </c>
      <c r="L14" s="4">
        <v>45657</v>
      </c>
    </row>
    <row r="15" spans="1:12">
      <c r="A15" s="292" t="s">
        <v>55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294"/>
    </row>
    <row r="16" spans="1:12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56</v>
      </c>
      <c r="J16" s="1"/>
      <c r="K16" s="1" t="s">
        <v>57</v>
      </c>
      <c r="L16" s="2" t="s">
        <v>13</v>
      </c>
    </row>
  </sheetData>
  <mergeCells count="2">
    <mergeCell ref="A3:L3"/>
    <mergeCell ref="A15:L1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M16"/>
  <sheetViews>
    <sheetView topLeftCell="A2" zoomScale="90" zoomScaleNormal="90" workbookViewId="0">
      <selection activeCell="F10" sqref="F10"/>
    </sheetView>
  </sheetViews>
  <sheetFormatPr defaultRowHeight="14.3"/>
  <cols>
    <col min="1" max="1" width="14.5" customWidth="1"/>
    <col min="2" max="2" width="18.5" bestFit="1" customWidth="1"/>
    <col min="3" max="3" width="8.5" customWidth="1"/>
    <col min="4" max="4" width="12.5" customWidth="1"/>
    <col min="5" max="5" width="11.5" customWidth="1"/>
    <col min="6" max="7" width="12.5" customWidth="1"/>
    <col min="8" max="8" width="18.5" bestFit="1" customWidth="1"/>
    <col min="9" max="10" width="20.5" customWidth="1"/>
    <col min="11" max="11" width="17.5" customWidth="1"/>
    <col min="12" max="12" width="12.875" customWidth="1"/>
    <col min="14" max="14" width="12.125" customWidth="1"/>
  </cols>
  <sheetData>
    <row r="2" spans="1:13" ht="41.45" customHeight="1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3" ht="27.7" customHeight="1">
      <c r="A3" s="290" t="s">
        <v>1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</row>
    <row r="4" spans="1:13" ht="1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2" t="s">
        <v>13</v>
      </c>
    </row>
    <row r="5" spans="1:13" ht="14.1" customHeight="1">
      <c r="A5" s="3" t="s">
        <v>14</v>
      </c>
      <c r="B5" s="5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10" t="s">
        <v>21</v>
      </c>
      <c r="I5" s="7">
        <v>45653</v>
      </c>
      <c r="J5" s="13">
        <v>141617</v>
      </c>
      <c r="K5" s="13">
        <v>141950</v>
      </c>
      <c r="L5" s="4">
        <v>45799</v>
      </c>
    </row>
    <row r="6" spans="1:13">
      <c r="A6" s="11" t="s">
        <v>14</v>
      </c>
      <c r="B6" s="6" t="s">
        <v>22</v>
      </c>
      <c r="C6" s="11" t="s">
        <v>23</v>
      </c>
      <c r="D6" s="11" t="s">
        <v>24</v>
      </c>
      <c r="E6" s="11" t="s">
        <v>18</v>
      </c>
      <c r="F6" s="14" t="s">
        <v>25</v>
      </c>
      <c r="G6" s="11" t="s">
        <v>20</v>
      </c>
      <c r="H6" s="12" t="s">
        <v>26</v>
      </c>
      <c r="I6" s="7">
        <v>45653</v>
      </c>
      <c r="J6" s="13">
        <v>47588</v>
      </c>
      <c r="K6" s="13">
        <v>47662</v>
      </c>
      <c r="L6" s="7">
        <v>45657</v>
      </c>
    </row>
    <row r="7" spans="1:13">
      <c r="A7" s="6" t="s">
        <v>14</v>
      </c>
      <c r="B7" s="6" t="s">
        <v>27</v>
      </c>
      <c r="C7" s="6" t="s">
        <v>28</v>
      </c>
      <c r="D7" s="6" t="s">
        <v>17</v>
      </c>
      <c r="E7" s="6" t="s">
        <v>18</v>
      </c>
      <c r="F7" s="6" t="s">
        <v>29</v>
      </c>
      <c r="G7" s="6" t="s">
        <v>20</v>
      </c>
      <c r="H7" s="6" t="s">
        <v>30</v>
      </c>
      <c r="I7" s="7">
        <v>45653</v>
      </c>
      <c r="J7" s="13">
        <v>78891</v>
      </c>
      <c r="K7" s="13">
        <v>79296</v>
      </c>
      <c r="L7" s="7">
        <v>45835</v>
      </c>
    </row>
    <row r="8" spans="1:13" s="19" customFormat="1">
      <c r="A8" s="3" t="s">
        <v>14</v>
      </c>
      <c r="B8" s="3" t="s">
        <v>31</v>
      </c>
      <c r="C8" s="3" t="s">
        <v>32</v>
      </c>
      <c r="D8" s="3" t="s">
        <v>24</v>
      </c>
      <c r="E8" s="3" t="s">
        <v>18</v>
      </c>
      <c r="F8" s="3" t="s">
        <v>33</v>
      </c>
      <c r="G8" s="3" t="s">
        <v>20</v>
      </c>
      <c r="H8" s="3" t="s">
        <v>34</v>
      </c>
      <c r="I8" s="17">
        <v>45653</v>
      </c>
      <c r="J8" s="18">
        <v>21408</v>
      </c>
      <c r="K8" s="18">
        <v>22230</v>
      </c>
      <c r="L8" s="17">
        <v>45657</v>
      </c>
    </row>
    <row r="9" spans="1:13">
      <c r="A9" s="6" t="s">
        <v>35</v>
      </c>
      <c r="B9" s="11" t="s">
        <v>36</v>
      </c>
      <c r="C9" s="11" t="s">
        <v>37</v>
      </c>
      <c r="D9" s="11" t="s">
        <v>38</v>
      </c>
      <c r="E9" s="11" t="s">
        <v>18</v>
      </c>
      <c r="F9" s="11" t="s">
        <v>39</v>
      </c>
      <c r="G9" s="11" t="s">
        <v>20</v>
      </c>
      <c r="H9" s="6" t="s">
        <v>40</v>
      </c>
      <c r="I9" s="7">
        <v>45653</v>
      </c>
      <c r="J9" s="13">
        <v>35693</v>
      </c>
      <c r="K9" s="13">
        <v>35699</v>
      </c>
      <c r="L9" s="7">
        <v>45889</v>
      </c>
    </row>
    <row r="10" spans="1:13">
      <c r="A10" s="6" t="s">
        <v>14</v>
      </c>
      <c r="B10" s="11" t="s">
        <v>31</v>
      </c>
      <c r="C10" s="6" t="s">
        <v>41</v>
      </c>
      <c r="D10" s="6" t="s">
        <v>24</v>
      </c>
      <c r="E10" s="6" t="s">
        <v>18</v>
      </c>
      <c r="F10" s="6" t="s">
        <v>42</v>
      </c>
      <c r="G10" s="6" t="s">
        <v>20</v>
      </c>
      <c r="H10" s="6" t="s">
        <v>43</v>
      </c>
      <c r="I10" s="7">
        <v>45653</v>
      </c>
      <c r="J10" s="13">
        <v>33194</v>
      </c>
      <c r="K10" s="13">
        <v>33985</v>
      </c>
      <c r="L10" s="7">
        <v>45657</v>
      </c>
    </row>
    <row r="11" spans="1:13">
      <c r="A11" s="6" t="s">
        <v>14</v>
      </c>
      <c r="B11" s="11" t="s">
        <v>31</v>
      </c>
      <c r="C11" s="6" t="s">
        <v>44</v>
      </c>
      <c r="D11" s="6" t="s">
        <v>24</v>
      </c>
      <c r="E11" s="6" t="s">
        <v>18</v>
      </c>
      <c r="F11" s="25" t="s">
        <v>45</v>
      </c>
      <c r="G11" s="6" t="s">
        <v>20</v>
      </c>
      <c r="H11" s="6" t="s">
        <v>46</v>
      </c>
      <c r="I11" s="7">
        <v>45653</v>
      </c>
      <c r="J11" s="13">
        <v>73010</v>
      </c>
      <c r="K11" s="13">
        <v>73017</v>
      </c>
      <c r="L11" s="7">
        <v>45657</v>
      </c>
    </row>
    <row r="12" spans="1:13">
      <c r="A12" s="6" t="s">
        <v>14</v>
      </c>
      <c r="B12" s="11" t="s">
        <v>31</v>
      </c>
      <c r="C12" s="6" t="s">
        <v>47</v>
      </c>
      <c r="D12" s="6" t="s">
        <v>24</v>
      </c>
      <c r="E12" s="6" t="s">
        <v>18</v>
      </c>
      <c r="F12" s="6" t="s">
        <v>48</v>
      </c>
      <c r="G12" s="6" t="s">
        <v>20</v>
      </c>
      <c r="H12" s="6" t="s">
        <v>46</v>
      </c>
      <c r="I12" s="7">
        <v>45653</v>
      </c>
      <c r="J12" s="13">
        <v>51302</v>
      </c>
      <c r="K12" s="13">
        <v>51314</v>
      </c>
      <c r="L12" s="7">
        <v>45657</v>
      </c>
    </row>
    <row r="13" spans="1:13" s="24" customFormat="1">
      <c r="A13" s="20" t="s">
        <v>14</v>
      </c>
      <c r="B13" s="21" t="s">
        <v>31</v>
      </c>
      <c r="C13" s="20" t="s">
        <v>49</v>
      </c>
      <c r="D13" s="20" t="s">
        <v>24</v>
      </c>
      <c r="E13" s="20" t="s">
        <v>18</v>
      </c>
      <c r="F13" s="20" t="s">
        <v>50</v>
      </c>
      <c r="G13" s="20" t="s">
        <v>20</v>
      </c>
      <c r="H13" s="20" t="s">
        <v>51</v>
      </c>
      <c r="I13" s="22">
        <v>45653</v>
      </c>
      <c r="J13" s="23">
        <v>81494</v>
      </c>
      <c r="K13" s="23"/>
      <c r="L13" s="22">
        <v>45657</v>
      </c>
      <c r="M13" s="24" t="s">
        <v>58</v>
      </c>
    </row>
    <row r="14" spans="1:13">
      <c r="A14" s="5" t="s">
        <v>14</v>
      </c>
      <c r="B14" s="6" t="s">
        <v>22</v>
      </c>
      <c r="C14" s="5" t="s">
        <v>52</v>
      </c>
      <c r="D14" s="5" t="s">
        <v>24</v>
      </c>
      <c r="E14" s="5" t="s">
        <v>18</v>
      </c>
      <c r="F14" s="5" t="s">
        <v>53</v>
      </c>
      <c r="G14" s="5" t="s">
        <v>20</v>
      </c>
      <c r="H14" s="5" t="s">
        <v>54</v>
      </c>
      <c r="I14" s="7">
        <v>45653</v>
      </c>
      <c r="J14" s="13">
        <v>34547</v>
      </c>
      <c r="K14" s="13">
        <v>34651</v>
      </c>
      <c r="L14" s="4">
        <v>45657</v>
      </c>
    </row>
    <row r="15" spans="1:13">
      <c r="A15" s="292" t="s">
        <v>55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294"/>
    </row>
    <row r="16" spans="1:13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56</v>
      </c>
      <c r="J16" s="1"/>
      <c r="K16" s="1" t="s">
        <v>57</v>
      </c>
      <c r="L16" s="2" t="s">
        <v>13</v>
      </c>
    </row>
  </sheetData>
  <mergeCells count="2">
    <mergeCell ref="A3:L3"/>
    <mergeCell ref="A15:L1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16"/>
  <sheetViews>
    <sheetView topLeftCell="A2" zoomScale="90" zoomScaleNormal="90" workbookViewId="0">
      <selection activeCell="L7" sqref="L7"/>
    </sheetView>
  </sheetViews>
  <sheetFormatPr defaultRowHeight="14.3"/>
  <cols>
    <col min="1" max="1" width="14.5" customWidth="1"/>
    <col min="2" max="2" width="18.5" bestFit="1" customWidth="1"/>
    <col min="3" max="3" width="8.5" customWidth="1"/>
    <col min="4" max="4" width="12.5" customWidth="1"/>
    <col min="5" max="5" width="11.5" customWidth="1"/>
    <col min="6" max="7" width="12.5" customWidth="1"/>
    <col min="8" max="8" width="18.5" bestFit="1" customWidth="1"/>
    <col min="9" max="10" width="20.5" customWidth="1"/>
    <col min="11" max="11" width="17.5" customWidth="1"/>
    <col min="12" max="12" width="12.875" customWidth="1"/>
    <col min="14" max="14" width="12.125" customWidth="1"/>
  </cols>
  <sheetData>
    <row r="2" spans="1:14" ht="41.45" customHeight="1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4" ht="27.7" customHeight="1">
      <c r="A3" s="290" t="s">
        <v>1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</row>
    <row r="4" spans="1:14" ht="1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2" t="s">
        <v>13</v>
      </c>
    </row>
    <row r="5" spans="1:14" ht="14.1" customHeight="1">
      <c r="A5" s="3" t="s">
        <v>14</v>
      </c>
      <c r="B5" s="5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10" t="s">
        <v>21</v>
      </c>
      <c r="I5" s="7">
        <v>45660</v>
      </c>
      <c r="J5" s="13">
        <v>141950</v>
      </c>
      <c r="K5" s="13">
        <v>142189</v>
      </c>
      <c r="L5" s="4">
        <v>45799</v>
      </c>
    </row>
    <row r="6" spans="1:14">
      <c r="A6" s="11" t="s">
        <v>14</v>
      </c>
      <c r="B6" s="6" t="s">
        <v>22</v>
      </c>
      <c r="C6" s="11" t="s">
        <v>23</v>
      </c>
      <c r="D6" s="11" t="s">
        <v>24</v>
      </c>
      <c r="E6" s="11" t="s">
        <v>18</v>
      </c>
      <c r="F6" s="3" t="s">
        <v>25</v>
      </c>
      <c r="G6" s="11" t="s">
        <v>20</v>
      </c>
      <c r="H6" s="12" t="s">
        <v>26</v>
      </c>
      <c r="I6" s="7">
        <v>45660</v>
      </c>
      <c r="J6" s="13">
        <v>47662</v>
      </c>
      <c r="K6" s="13">
        <v>47982</v>
      </c>
      <c r="L6" s="7">
        <v>45657</v>
      </c>
      <c r="N6">
        <v>2</v>
      </c>
    </row>
    <row r="7" spans="1:14">
      <c r="A7" s="6" t="s">
        <v>14</v>
      </c>
      <c r="B7" s="6" t="s">
        <v>27</v>
      </c>
      <c r="C7" s="6" t="s">
        <v>28</v>
      </c>
      <c r="D7" s="6" t="s">
        <v>17</v>
      </c>
      <c r="E7" s="6" t="s">
        <v>18</v>
      </c>
      <c r="F7" s="6" t="s">
        <v>29</v>
      </c>
      <c r="G7" s="6" t="s">
        <v>20</v>
      </c>
      <c r="H7" s="6" t="s">
        <v>30</v>
      </c>
      <c r="I7" s="7">
        <v>45660</v>
      </c>
      <c r="J7" s="13">
        <v>79296</v>
      </c>
      <c r="K7" s="13">
        <v>79482</v>
      </c>
      <c r="L7" s="7">
        <v>45835</v>
      </c>
    </row>
    <row r="8" spans="1:14" s="19" customFormat="1">
      <c r="A8" s="3" t="s">
        <v>14</v>
      </c>
      <c r="B8" s="3" t="s">
        <v>31</v>
      </c>
      <c r="C8" s="3" t="s">
        <v>32</v>
      </c>
      <c r="D8" s="3" t="s">
        <v>24</v>
      </c>
      <c r="E8" s="3" t="s">
        <v>18</v>
      </c>
      <c r="F8" s="3" t="s">
        <v>33</v>
      </c>
      <c r="G8" s="3" t="s">
        <v>20</v>
      </c>
      <c r="H8" s="3" t="s">
        <v>34</v>
      </c>
      <c r="I8" s="7">
        <v>45660</v>
      </c>
      <c r="J8" s="18">
        <v>22230</v>
      </c>
      <c r="K8" s="18">
        <v>22374</v>
      </c>
      <c r="L8" s="17">
        <v>45657</v>
      </c>
    </row>
    <row r="9" spans="1:14">
      <c r="A9" s="6" t="s">
        <v>35</v>
      </c>
      <c r="B9" s="11" t="s">
        <v>36</v>
      </c>
      <c r="C9" s="11" t="s">
        <v>37</v>
      </c>
      <c r="D9" s="11" t="s">
        <v>38</v>
      </c>
      <c r="E9" s="11" t="s">
        <v>18</v>
      </c>
      <c r="F9" s="11" t="s">
        <v>39</v>
      </c>
      <c r="G9" s="11" t="s">
        <v>20</v>
      </c>
      <c r="H9" s="6" t="s">
        <v>40</v>
      </c>
      <c r="I9" s="7">
        <v>45660</v>
      </c>
      <c r="J9" s="13">
        <v>35699</v>
      </c>
      <c r="K9" s="13">
        <v>35704</v>
      </c>
      <c r="L9" s="7">
        <v>45889</v>
      </c>
    </row>
    <row r="10" spans="1:14" s="24" customFormat="1">
      <c r="A10" s="20" t="s">
        <v>14</v>
      </c>
      <c r="B10" s="21" t="s">
        <v>31</v>
      </c>
      <c r="C10" s="20" t="s">
        <v>41</v>
      </c>
      <c r="D10" s="20" t="s">
        <v>24</v>
      </c>
      <c r="E10" s="20" t="s">
        <v>18</v>
      </c>
      <c r="F10" s="20" t="s">
        <v>42</v>
      </c>
      <c r="G10" s="20" t="s">
        <v>20</v>
      </c>
      <c r="H10" s="20" t="s">
        <v>43</v>
      </c>
      <c r="I10" s="22">
        <v>45660</v>
      </c>
      <c r="J10" s="23">
        <v>33985</v>
      </c>
      <c r="K10" s="23"/>
      <c r="L10" s="22">
        <v>45657</v>
      </c>
      <c r="M10" s="24" t="s">
        <v>59</v>
      </c>
    </row>
    <row r="11" spans="1:14">
      <c r="A11" s="6" t="s">
        <v>14</v>
      </c>
      <c r="B11" s="11" t="s">
        <v>31</v>
      </c>
      <c r="C11" s="6" t="s">
        <v>44</v>
      </c>
      <c r="D11" s="6" t="s">
        <v>24</v>
      </c>
      <c r="E11" s="6" t="s">
        <v>18</v>
      </c>
      <c r="F11" s="5" t="s">
        <v>45</v>
      </c>
      <c r="G11" s="6" t="s">
        <v>20</v>
      </c>
      <c r="H11" s="6" t="s">
        <v>46</v>
      </c>
      <c r="I11" s="7">
        <v>45660</v>
      </c>
      <c r="J11" s="13">
        <v>73017</v>
      </c>
      <c r="K11" s="13">
        <v>73053</v>
      </c>
      <c r="L11" s="7">
        <v>45657</v>
      </c>
    </row>
    <row r="12" spans="1:14">
      <c r="A12" s="6" t="s">
        <v>14</v>
      </c>
      <c r="B12" s="11" t="s">
        <v>31</v>
      </c>
      <c r="C12" s="6" t="s">
        <v>47</v>
      </c>
      <c r="D12" s="6" t="s">
        <v>24</v>
      </c>
      <c r="E12" s="6" t="s">
        <v>18</v>
      </c>
      <c r="F12" s="6" t="s">
        <v>48</v>
      </c>
      <c r="G12" s="6" t="s">
        <v>20</v>
      </c>
      <c r="H12" s="6" t="s">
        <v>46</v>
      </c>
      <c r="I12" s="7">
        <v>45660</v>
      </c>
      <c r="J12" s="13">
        <v>51314</v>
      </c>
      <c r="K12" s="13">
        <v>51331</v>
      </c>
      <c r="L12" s="7">
        <v>45657</v>
      </c>
    </row>
    <row r="13" spans="1:14" s="19" customFormat="1">
      <c r="A13" s="5" t="s">
        <v>14</v>
      </c>
      <c r="B13" s="3" t="s">
        <v>31</v>
      </c>
      <c r="C13" s="5" t="s">
        <v>49</v>
      </c>
      <c r="D13" s="5" t="s">
        <v>24</v>
      </c>
      <c r="E13" s="5" t="s">
        <v>18</v>
      </c>
      <c r="F13" s="5" t="s">
        <v>50</v>
      </c>
      <c r="G13" s="5" t="s">
        <v>20</v>
      </c>
      <c r="H13" s="5" t="s">
        <v>51</v>
      </c>
      <c r="I13" s="17">
        <v>45660</v>
      </c>
      <c r="J13" s="18">
        <v>81494</v>
      </c>
      <c r="K13" s="18">
        <v>82015</v>
      </c>
      <c r="L13" s="17">
        <v>45657</v>
      </c>
    </row>
    <row r="14" spans="1:14">
      <c r="A14" s="5" t="s">
        <v>14</v>
      </c>
      <c r="B14" s="6" t="s">
        <v>22</v>
      </c>
      <c r="C14" s="5" t="s">
        <v>52</v>
      </c>
      <c r="D14" s="5" t="s">
        <v>24</v>
      </c>
      <c r="E14" s="5" t="s">
        <v>18</v>
      </c>
      <c r="F14" s="5" t="s">
        <v>53</v>
      </c>
      <c r="G14" s="5" t="s">
        <v>20</v>
      </c>
      <c r="H14" s="5" t="s">
        <v>54</v>
      </c>
      <c r="I14" s="7">
        <v>45660</v>
      </c>
      <c r="J14" s="13">
        <v>34651</v>
      </c>
      <c r="K14" s="13">
        <v>34655</v>
      </c>
      <c r="L14" s="4">
        <v>45657</v>
      </c>
    </row>
    <row r="15" spans="1:14">
      <c r="A15" s="292" t="s">
        <v>55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294"/>
    </row>
    <row r="16" spans="1:14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56</v>
      </c>
      <c r="J16" s="1"/>
      <c r="K16" s="1" t="s">
        <v>57</v>
      </c>
      <c r="L16" s="2" t="s">
        <v>13</v>
      </c>
    </row>
  </sheetData>
  <mergeCells count="2">
    <mergeCell ref="A3:L3"/>
    <mergeCell ref="A15:L1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19"/>
  <sheetViews>
    <sheetView topLeftCell="A3" zoomScale="90" zoomScaleNormal="90" workbookViewId="0">
      <selection activeCell="J5" sqref="J5"/>
    </sheetView>
  </sheetViews>
  <sheetFormatPr defaultRowHeight="14.3"/>
  <cols>
    <col min="1" max="1" width="14.5" customWidth="1"/>
    <col min="2" max="2" width="18.5" bestFit="1" customWidth="1"/>
    <col min="3" max="3" width="8.5" customWidth="1"/>
    <col min="4" max="4" width="12.5" customWidth="1"/>
    <col min="5" max="5" width="11.5" customWidth="1"/>
    <col min="6" max="7" width="12.5" customWidth="1"/>
    <col min="8" max="8" width="18.5" bestFit="1" customWidth="1"/>
    <col min="9" max="10" width="20.5" customWidth="1"/>
    <col min="11" max="11" width="17.5" customWidth="1"/>
    <col min="12" max="12" width="12.875" customWidth="1"/>
    <col min="14" max="14" width="12.125" customWidth="1"/>
  </cols>
  <sheetData>
    <row r="2" spans="1:14" ht="41.45" customHeight="1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4" ht="27.7" customHeight="1">
      <c r="A3" s="290" t="s">
        <v>1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</row>
    <row r="4" spans="1:14" ht="1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2" t="s">
        <v>13</v>
      </c>
    </row>
    <row r="5" spans="1:14" ht="14.1" customHeight="1">
      <c r="A5" s="3" t="s">
        <v>14</v>
      </c>
      <c r="B5" s="5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10" t="s">
        <v>21</v>
      </c>
      <c r="I5" s="7">
        <v>45681</v>
      </c>
      <c r="J5" s="13">
        <v>143532</v>
      </c>
      <c r="K5" s="13">
        <v>144419</v>
      </c>
      <c r="L5" s="4">
        <v>45799</v>
      </c>
    </row>
    <row r="6" spans="1:14">
      <c r="A6" s="11" t="s">
        <v>14</v>
      </c>
      <c r="B6" s="6" t="s">
        <v>22</v>
      </c>
      <c r="C6" s="11" t="s">
        <v>23</v>
      </c>
      <c r="D6" s="11" t="s">
        <v>24</v>
      </c>
      <c r="E6" s="11" t="s">
        <v>18</v>
      </c>
      <c r="F6" s="3" t="s">
        <v>25</v>
      </c>
      <c r="G6" s="11" t="s">
        <v>20</v>
      </c>
      <c r="H6" s="12" t="s">
        <v>26</v>
      </c>
      <c r="I6" s="7">
        <v>45681</v>
      </c>
      <c r="J6" s="13">
        <v>48634</v>
      </c>
      <c r="K6" s="13">
        <v>49194</v>
      </c>
      <c r="L6" s="7">
        <v>45716</v>
      </c>
      <c r="N6">
        <v>2</v>
      </c>
    </row>
    <row r="7" spans="1:14">
      <c r="A7" s="6" t="s">
        <v>14</v>
      </c>
      <c r="B7" s="6" t="s">
        <v>27</v>
      </c>
      <c r="C7" s="6" t="s">
        <v>28</v>
      </c>
      <c r="D7" s="6" t="s">
        <v>17</v>
      </c>
      <c r="E7" s="6" t="s">
        <v>18</v>
      </c>
      <c r="F7" s="6" t="s">
        <v>29</v>
      </c>
      <c r="G7" s="6" t="s">
        <v>20</v>
      </c>
      <c r="H7" s="6" t="s">
        <v>30</v>
      </c>
      <c r="I7" s="7">
        <v>45681</v>
      </c>
      <c r="J7" s="13">
        <v>80833</v>
      </c>
      <c r="K7" s="13">
        <v>81449</v>
      </c>
      <c r="L7" s="7">
        <v>45835</v>
      </c>
    </row>
    <row r="8" spans="1:14" s="19" customFormat="1">
      <c r="A8" s="3" t="s">
        <v>14</v>
      </c>
      <c r="B8" s="3" t="s">
        <v>31</v>
      </c>
      <c r="C8" s="3" t="s">
        <v>32</v>
      </c>
      <c r="D8" s="3" t="s">
        <v>24</v>
      </c>
      <c r="E8" s="3" t="s">
        <v>18</v>
      </c>
      <c r="F8" s="3" t="s">
        <v>33</v>
      </c>
      <c r="G8" s="3" t="s">
        <v>20</v>
      </c>
      <c r="H8" s="3" t="s">
        <v>34</v>
      </c>
      <c r="I8" s="7">
        <v>45681</v>
      </c>
      <c r="J8" s="18">
        <v>23572</v>
      </c>
      <c r="K8" s="18">
        <v>24382</v>
      </c>
      <c r="L8" s="17">
        <v>45723</v>
      </c>
    </row>
    <row r="9" spans="1:14" s="32" customFormat="1">
      <c r="A9" s="28" t="s">
        <v>35</v>
      </c>
      <c r="B9" s="29" t="s">
        <v>36</v>
      </c>
      <c r="C9" s="29" t="s">
        <v>37</v>
      </c>
      <c r="D9" s="29" t="s">
        <v>38</v>
      </c>
      <c r="E9" s="29" t="s">
        <v>18</v>
      </c>
      <c r="F9" s="29" t="s">
        <v>39</v>
      </c>
      <c r="G9" s="29" t="s">
        <v>20</v>
      </c>
      <c r="H9" s="28" t="s">
        <v>40</v>
      </c>
      <c r="I9" s="30">
        <v>45674</v>
      </c>
      <c r="J9" s="31">
        <v>36236</v>
      </c>
      <c r="K9" s="31"/>
      <c r="L9" s="30">
        <v>45889</v>
      </c>
      <c r="M9" s="32" t="s">
        <v>60</v>
      </c>
    </row>
    <row r="10" spans="1:14" s="19" customFormat="1">
      <c r="A10" s="5" t="s">
        <v>14</v>
      </c>
      <c r="B10" s="3" t="s">
        <v>31</v>
      </c>
      <c r="C10" s="5" t="s">
        <v>41</v>
      </c>
      <c r="D10" s="5" t="s">
        <v>24</v>
      </c>
      <c r="E10" s="5" t="s">
        <v>18</v>
      </c>
      <c r="F10" s="5" t="s">
        <v>42</v>
      </c>
      <c r="G10" s="5" t="s">
        <v>20</v>
      </c>
      <c r="H10" s="5" t="s">
        <v>43</v>
      </c>
      <c r="I10" s="17">
        <v>45681</v>
      </c>
      <c r="J10" s="31" t="s">
        <v>61</v>
      </c>
      <c r="K10" s="18">
        <v>35910</v>
      </c>
      <c r="L10" s="17">
        <v>45737</v>
      </c>
    </row>
    <row r="11" spans="1:14">
      <c r="A11" s="6" t="s">
        <v>14</v>
      </c>
      <c r="B11" s="11" t="s">
        <v>31</v>
      </c>
      <c r="C11" s="6" t="s">
        <v>44</v>
      </c>
      <c r="D11" s="6" t="s">
        <v>24</v>
      </c>
      <c r="E11" s="6" t="s">
        <v>18</v>
      </c>
      <c r="F11" s="5" t="s">
        <v>45</v>
      </c>
      <c r="G11" s="6" t="s">
        <v>20</v>
      </c>
      <c r="H11" s="6" t="s">
        <v>46</v>
      </c>
      <c r="I11" s="7">
        <v>45681</v>
      </c>
      <c r="J11" s="13">
        <v>74047</v>
      </c>
      <c r="K11" s="13">
        <v>74613</v>
      </c>
      <c r="L11" s="7">
        <v>45716</v>
      </c>
    </row>
    <row r="12" spans="1:14">
      <c r="A12" s="6" t="s">
        <v>14</v>
      </c>
      <c r="B12" s="11" t="s">
        <v>31</v>
      </c>
      <c r="C12" s="6" t="s">
        <v>47</v>
      </c>
      <c r="D12" s="6" t="s">
        <v>24</v>
      </c>
      <c r="E12" s="6" t="s">
        <v>18</v>
      </c>
      <c r="F12" s="6" t="s">
        <v>48</v>
      </c>
      <c r="G12" s="6" t="s">
        <v>20</v>
      </c>
      <c r="H12" s="6" t="s">
        <v>46</v>
      </c>
      <c r="I12" s="7">
        <v>45681</v>
      </c>
      <c r="J12" s="13">
        <v>52304</v>
      </c>
      <c r="K12" s="13">
        <v>52935</v>
      </c>
      <c r="L12" s="7">
        <v>45751</v>
      </c>
    </row>
    <row r="13" spans="1:14" s="19" customFormat="1">
      <c r="A13" s="5" t="s">
        <v>14</v>
      </c>
      <c r="B13" s="3" t="s">
        <v>31</v>
      </c>
      <c r="C13" s="5" t="s">
        <v>49</v>
      </c>
      <c r="D13" s="5" t="s">
        <v>24</v>
      </c>
      <c r="E13" s="5" t="s">
        <v>18</v>
      </c>
      <c r="F13" s="5" t="s">
        <v>50</v>
      </c>
      <c r="G13" s="5" t="s">
        <v>20</v>
      </c>
      <c r="H13" s="5" t="s">
        <v>51</v>
      </c>
      <c r="I13" s="17">
        <v>45681</v>
      </c>
      <c r="J13" s="18">
        <v>84067</v>
      </c>
      <c r="K13" s="18">
        <v>84180</v>
      </c>
      <c r="L13" s="17">
        <v>45734</v>
      </c>
    </row>
    <row r="14" spans="1:14">
      <c r="A14" s="5" t="s">
        <v>14</v>
      </c>
      <c r="B14" s="6" t="s">
        <v>22</v>
      </c>
      <c r="C14" s="5" t="s">
        <v>52</v>
      </c>
      <c r="D14" s="5" t="s">
        <v>24</v>
      </c>
      <c r="E14" s="5" t="s">
        <v>18</v>
      </c>
      <c r="F14" s="5" t="s">
        <v>53</v>
      </c>
      <c r="G14" s="5" t="s">
        <v>20</v>
      </c>
      <c r="H14" s="5" t="s">
        <v>54</v>
      </c>
      <c r="I14" s="7">
        <v>45681</v>
      </c>
      <c r="J14" s="13">
        <v>35187</v>
      </c>
      <c r="K14" s="13">
        <v>35628</v>
      </c>
      <c r="L14" s="4">
        <v>45751</v>
      </c>
    </row>
    <row r="15" spans="1:14">
      <c r="A15" s="292" t="s">
        <v>55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294"/>
    </row>
    <row r="16" spans="1:14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56</v>
      </c>
      <c r="J16" s="1"/>
      <c r="K16" s="1" t="s">
        <v>57</v>
      </c>
      <c r="L16" s="2" t="s">
        <v>13</v>
      </c>
    </row>
    <row r="18" spans="3:8">
      <c r="C18" s="5" t="s">
        <v>52</v>
      </c>
      <c r="D18" s="5" t="s">
        <v>24</v>
      </c>
      <c r="E18" s="5" t="s">
        <v>18</v>
      </c>
      <c r="F18" s="5" t="s">
        <v>53</v>
      </c>
      <c r="G18" s="26" t="s">
        <v>62</v>
      </c>
    </row>
    <row r="19" spans="3:8">
      <c r="C19" s="6" t="s">
        <v>44</v>
      </c>
      <c r="D19" s="6" t="s">
        <v>24</v>
      </c>
      <c r="E19" s="6" t="s">
        <v>18</v>
      </c>
      <c r="F19" s="5" t="s">
        <v>45</v>
      </c>
      <c r="H19" s="27" t="s">
        <v>63</v>
      </c>
    </row>
  </sheetData>
  <mergeCells count="2">
    <mergeCell ref="A3:L3"/>
    <mergeCell ref="A15:L1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K11" sqref="K11"/>
    </sheetView>
  </sheetViews>
  <sheetFormatPr defaultRowHeight="14.3"/>
  <cols>
    <col min="1" max="1" width="12.5" customWidth="1"/>
    <col min="2" max="2" width="22.125" customWidth="1"/>
    <col min="8" max="8" width="18.5" bestFit="1" customWidth="1"/>
    <col min="9" max="9" width="10.5" bestFit="1" customWidth="1"/>
    <col min="10" max="10" width="12.5" bestFit="1" customWidth="1"/>
    <col min="11" max="11" width="10" bestFit="1" customWidth="1"/>
    <col min="12" max="12" width="15.5" customWidth="1"/>
    <col min="13" max="13" width="10.5" bestFit="1" customWidth="1"/>
    <col min="14" max="14" width="13" bestFit="1" customWidth="1"/>
  </cols>
  <sheetData>
    <row r="1" spans="1:1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42" t="s">
        <v>64</v>
      </c>
      <c r="M3" s="2" t="s">
        <v>13</v>
      </c>
      <c r="N3" s="38" t="s">
        <v>65</v>
      </c>
    </row>
    <row r="4" spans="1:14">
      <c r="A4" s="3" t="s">
        <v>14</v>
      </c>
      <c r="B4" s="5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10" t="s">
        <v>21</v>
      </c>
      <c r="I4" s="7">
        <v>45709</v>
      </c>
      <c r="J4" s="13">
        <v>147540</v>
      </c>
      <c r="K4" s="18">
        <v>148438</v>
      </c>
      <c r="L4" s="7">
        <v>45712</v>
      </c>
      <c r="M4" s="4">
        <v>45799</v>
      </c>
      <c r="N4" s="7">
        <v>45722</v>
      </c>
    </row>
    <row r="5" spans="1:14">
      <c r="A5" s="6" t="s">
        <v>14</v>
      </c>
      <c r="B5" s="6" t="s">
        <v>22</v>
      </c>
      <c r="C5" s="6" t="s">
        <v>23</v>
      </c>
      <c r="D5" s="6" t="s">
        <v>24</v>
      </c>
      <c r="E5" s="6" t="s">
        <v>18</v>
      </c>
      <c r="F5" s="6" t="s">
        <v>25</v>
      </c>
      <c r="G5" s="6" t="s">
        <v>20</v>
      </c>
      <c r="H5" s="6" t="s">
        <v>66</v>
      </c>
      <c r="I5" s="7">
        <v>45709</v>
      </c>
      <c r="J5" s="13">
        <v>50458</v>
      </c>
      <c r="K5" s="13"/>
      <c r="L5" s="7">
        <v>45714</v>
      </c>
      <c r="M5" s="7">
        <v>45716</v>
      </c>
      <c r="N5" s="7">
        <v>45694</v>
      </c>
    </row>
    <row r="6" spans="1:14">
      <c r="A6" s="6" t="s">
        <v>14</v>
      </c>
      <c r="B6" s="6" t="s">
        <v>27</v>
      </c>
      <c r="C6" s="6" t="s">
        <v>28</v>
      </c>
      <c r="D6" s="6" t="s">
        <v>17</v>
      </c>
      <c r="E6" s="6" t="s">
        <v>18</v>
      </c>
      <c r="F6" s="6" t="s">
        <v>29</v>
      </c>
      <c r="G6" s="6" t="s">
        <v>20</v>
      </c>
      <c r="H6" s="6" t="s">
        <v>30</v>
      </c>
      <c r="I6" s="7">
        <v>45709</v>
      </c>
      <c r="J6" s="13">
        <v>84900</v>
      </c>
      <c r="K6" s="13">
        <v>85531</v>
      </c>
      <c r="L6" s="7">
        <v>45705</v>
      </c>
      <c r="M6" s="7">
        <v>45835</v>
      </c>
      <c r="N6" s="7">
        <v>45727</v>
      </c>
    </row>
    <row r="7" spans="1:14">
      <c r="A7" s="6" t="s">
        <v>14</v>
      </c>
      <c r="B7" s="11" t="s">
        <v>31</v>
      </c>
      <c r="C7" s="6" t="s">
        <v>32</v>
      </c>
      <c r="D7" s="6" t="s">
        <v>24</v>
      </c>
      <c r="E7" s="6" t="s">
        <v>18</v>
      </c>
      <c r="F7" s="6" t="s">
        <v>33</v>
      </c>
      <c r="G7" s="6" t="s">
        <v>20</v>
      </c>
      <c r="H7" s="6" t="s">
        <v>66</v>
      </c>
      <c r="I7" s="7">
        <v>45709</v>
      </c>
      <c r="J7" s="13">
        <v>26776</v>
      </c>
      <c r="K7" s="13">
        <v>27303</v>
      </c>
      <c r="L7" s="7">
        <v>45714</v>
      </c>
      <c r="M7" s="7">
        <v>45723</v>
      </c>
      <c r="N7" s="7">
        <v>45723</v>
      </c>
    </row>
    <row r="8" spans="1:14">
      <c r="A8" s="29" t="s">
        <v>35</v>
      </c>
      <c r="B8" s="29" t="s">
        <v>36</v>
      </c>
      <c r="C8" s="29" t="s">
        <v>37</v>
      </c>
      <c r="D8" s="29" t="s">
        <v>38</v>
      </c>
      <c r="E8" s="29" t="s">
        <v>18</v>
      </c>
      <c r="F8" s="29" t="s">
        <v>39</v>
      </c>
      <c r="G8" s="29" t="s">
        <v>20</v>
      </c>
      <c r="H8" s="29" t="s">
        <v>67</v>
      </c>
      <c r="I8" s="30">
        <v>45695</v>
      </c>
      <c r="J8" s="31">
        <v>37094</v>
      </c>
      <c r="K8" s="31"/>
      <c r="L8" s="30"/>
      <c r="M8" s="30">
        <v>45889</v>
      </c>
      <c r="N8" s="30"/>
    </row>
    <row r="9" spans="1:14">
      <c r="A9" s="5" t="s">
        <v>14</v>
      </c>
      <c r="B9" s="3" t="s">
        <v>31</v>
      </c>
      <c r="C9" s="5" t="s">
        <v>41</v>
      </c>
      <c r="D9" s="5" t="s">
        <v>24</v>
      </c>
      <c r="E9" s="5" t="s">
        <v>18</v>
      </c>
      <c r="F9" s="5" t="s">
        <v>42</v>
      </c>
      <c r="G9" s="5" t="s">
        <v>20</v>
      </c>
      <c r="H9" s="40" t="s">
        <v>68</v>
      </c>
      <c r="I9" s="7">
        <v>45709</v>
      </c>
      <c r="J9" s="18">
        <v>39605</v>
      </c>
      <c r="K9" s="18">
        <v>40151</v>
      </c>
      <c r="L9" s="7">
        <v>45716</v>
      </c>
      <c r="M9" s="17">
        <v>45737</v>
      </c>
      <c r="N9" s="7">
        <v>45728</v>
      </c>
    </row>
    <row r="10" spans="1:14">
      <c r="A10" s="6" t="s">
        <v>14</v>
      </c>
      <c r="B10" s="11" t="s">
        <v>31</v>
      </c>
      <c r="C10" s="6" t="s">
        <v>44</v>
      </c>
      <c r="D10" s="6" t="s">
        <v>24</v>
      </c>
      <c r="E10" s="6" t="s">
        <v>18</v>
      </c>
      <c r="F10" s="6" t="s">
        <v>45</v>
      </c>
      <c r="G10" s="6" t="s">
        <v>20</v>
      </c>
      <c r="H10" s="41" t="s">
        <v>46</v>
      </c>
      <c r="I10" s="7">
        <v>45709</v>
      </c>
      <c r="J10" s="13">
        <v>76775</v>
      </c>
      <c r="K10" s="13">
        <v>77357</v>
      </c>
      <c r="L10" s="7">
        <v>45713</v>
      </c>
      <c r="M10" s="7">
        <v>45716</v>
      </c>
      <c r="N10" s="7">
        <v>45722</v>
      </c>
    </row>
    <row r="11" spans="1:14">
      <c r="A11" s="6" t="s">
        <v>14</v>
      </c>
      <c r="B11" s="11" t="s">
        <v>31</v>
      </c>
      <c r="C11" s="6" t="s">
        <v>47</v>
      </c>
      <c r="D11" s="6" t="s">
        <v>24</v>
      </c>
      <c r="E11" s="6" t="s">
        <v>18</v>
      </c>
      <c r="F11" s="6" t="s">
        <v>48</v>
      </c>
      <c r="G11" s="6" t="s">
        <v>20</v>
      </c>
      <c r="H11" s="6" t="s">
        <v>69</v>
      </c>
      <c r="I11" s="7">
        <v>45709</v>
      </c>
      <c r="J11" s="13">
        <v>55299</v>
      </c>
      <c r="K11" s="13">
        <v>56028</v>
      </c>
      <c r="L11" s="7">
        <v>45716</v>
      </c>
      <c r="M11" s="7">
        <v>45751</v>
      </c>
      <c r="N11" s="7">
        <v>45726</v>
      </c>
    </row>
    <row r="12" spans="1:14">
      <c r="A12" s="29" t="s">
        <v>14</v>
      </c>
      <c r="B12" s="29" t="s">
        <v>31</v>
      </c>
      <c r="C12" s="29" t="s">
        <v>49</v>
      </c>
      <c r="D12" s="29" t="s">
        <v>24</v>
      </c>
      <c r="E12" s="29" t="s">
        <v>18</v>
      </c>
      <c r="F12" s="29" t="s">
        <v>50</v>
      </c>
      <c r="G12" s="29" t="s">
        <v>20</v>
      </c>
      <c r="H12" s="29" t="s">
        <v>70</v>
      </c>
      <c r="I12" s="30">
        <v>45709</v>
      </c>
      <c r="J12" s="31">
        <v>85030</v>
      </c>
      <c r="K12" s="31"/>
      <c r="L12" s="30"/>
      <c r="M12" s="30">
        <v>45734</v>
      </c>
      <c r="N12" s="30"/>
    </row>
    <row r="13" spans="1:14">
      <c r="A13" s="5" t="s">
        <v>14</v>
      </c>
      <c r="B13" s="6" t="s">
        <v>22</v>
      </c>
      <c r="C13" s="5" t="s">
        <v>52</v>
      </c>
      <c r="D13" s="5" t="s">
        <v>24</v>
      </c>
      <c r="E13" s="5" t="s">
        <v>18</v>
      </c>
      <c r="F13" s="5" t="s">
        <v>53</v>
      </c>
      <c r="G13" s="5" t="s">
        <v>20</v>
      </c>
      <c r="H13" s="5" t="s">
        <v>71</v>
      </c>
      <c r="I13" s="7">
        <v>45709</v>
      </c>
      <c r="J13" s="13">
        <v>37681</v>
      </c>
      <c r="K13" s="13">
        <v>38443</v>
      </c>
      <c r="L13" s="7">
        <v>45714</v>
      </c>
      <c r="M13" s="4">
        <v>45751</v>
      </c>
      <c r="N13" s="7">
        <v>45722</v>
      </c>
    </row>
    <row r="14" spans="1:14">
      <c r="A14" s="292" t="s">
        <v>55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</row>
    <row r="15" spans="1:14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56</v>
      </c>
      <c r="J15" s="1"/>
      <c r="K15" s="1" t="s">
        <v>57</v>
      </c>
      <c r="L15" s="1"/>
      <c r="M15" s="2" t="s">
        <v>13</v>
      </c>
      <c r="N15" s="38" t="s">
        <v>65</v>
      </c>
    </row>
    <row r="18" spans="5:14">
      <c r="E18" s="295" t="s">
        <v>72</v>
      </c>
      <c r="F18" s="295"/>
      <c r="G18" s="295"/>
      <c r="H18" s="295"/>
      <c r="I18" s="295"/>
    </row>
    <row r="19" spans="5:14">
      <c r="E19" s="295" t="s">
        <v>73</v>
      </c>
      <c r="F19" s="295"/>
      <c r="G19" s="295"/>
      <c r="H19" s="295"/>
      <c r="I19" s="295"/>
    </row>
    <row r="20" spans="5:14">
      <c r="E20" s="295" t="s">
        <v>74</v>
      </c>
      <c r="F20" s="295"/>
      <c r="G20" s="295"/>
      <c r="H20" s="295"/>
      <c r="I20" s="295"/>
    </row>
    <row r="22" spans="5:14">
      <c r="K22" s="1" t="s">
        <v>4</v>
      </c>
      <c r="L22" s="2" t="s">
        <v>13</v>
      </c>
      <c r="M22" s="43"/>
    </row>
    <row r="23" spans="5:14">
      <c r="K23" s="6" t="s">
        <v>32</v>
      </c>
      <c r="L23" s="7">
        <v>45723</v>
      </c>
    </row>
    <row r="24" spans="5:14">
      <c r="K24" s="6" t="s">
        <v>44</v>
      </c>
      <c r="L24" s="7">
        <v>45716</v>
      </c>
    </row>
    <row r="25" spans="5:14">
      <c r="K25" s="6" t="s">
        <v>23</v>
      </c>
      <c r="L25" s="7">
        <v>45716</v>
      </c>
      <c r="M25" s="296" t="s">
        <v>75</v>
      </c>
      <c r="N25" s="297"/>
    </row>
  </sheetData>
  <mergeCells count="5">
    <mergeCell ref="A14:N14"/>
    <mergeCell ref="E19:I19"/>
    <mergeCell ref="E20:I20"/>
    <mergeCell ref="M25:N25"/>
    <mergeCell ref="E18:I18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N26" sqref="N26"/>
    </sheetView>
  </sheetViews>
  <sheetFormatPr defaultRowHeight="14.3"/>
  <cols>
    <col min="1" max="1" width="22.5" customWidth="1"/>
    <col min="2" max="2" width="17.5" customWidth="1"/>
    <col min="8" max="8" width="19.5" customWidth="1"/>
    <col min="9" max="9" width="17.125" customWidth="1"/>
    <col min="10" max="10" width="12.5" customWidth="1"/>
    <col min="11" max="11" width="11.125" customWidth="1"/>
    <col min="12" max="12" width="12.5" customWidth="1"/>
    <col min="13" max="13" width="11.875" customWidth="1"/>
    <col min="14" max="14" width="12.5" customWidth="1"/>
  </cols>
  <sheetData>
    <row r="1" spans="1:1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76</v>
      </c>
      <c r="M3" s="2" t="s">
        <v>13</v>
      </c>
      <c r="N3" s="38" t="s">
        <v>65</v>
      </c>
    </row>
    <row r="4" spans="1:14">
      <c r="A4" s="3" t="s">
        <v>14</v>
      </c>
      <c r="B4" s="5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10" t="s">
        <v>21</v>
      </c>
      <c r="I4" s="7">
        <v>45695</v>
      </c>
      <c r="J4" s="13">
        <v>145675</v>
      </c>
      <c r="K4" s="13">
        <v>146562</v>
      </c>
      <c r="L4" s="7"/>
      <c r="M4" s="4">
        <v>45799</v>
      </c>
      <c r="N4" s="7">
        <v>45707</v>
      </c>
    </row>
    <row r="5" spans="1:14">
      <c r="A5" s="6" t="s">
        <v>14</v>
      </c>
      <c r="B5" s="6" t="s">
        <v>22</v>
      </c>
      <c r="C5" s="6" t="s">
        <v>23</v>
      </c>
      <c r="D5" s="6" t="s">
        <v>24</v>
      </c>
      <c r="E5" s="6" t="s">
        <v>18</v>
      </c>
      <c r="F5" s="6" t="s">
        <v>25</v>
      </c>
      <c r="G5" s="6" t="s">
        <v>20</v>
      </c>
      <c r="H5" s="6" t="s">
        <v>66</v>
      </c>
      <c r="I5" s="7">
        <v>45695</v>
      </c>
      <c r="J5" s="13">
        <v>49194</v>
      </c>
      <c r="K5" s="13">
        <v>50001</v>
      </c>
      <c r="L5" s="7">
        <v>45698</v>
      </c>
      <c r="M5" s="7">
        <v>45716</v>
      </c>
      <c r="N5" s="7">
        <v>45705</v>
      </c>
    </row>
    <row r="6" spans="1:14">
      <c r="A6" s="6" t="s">
        <v>14</v>
      </c>
      <c r="B6" s="6" t="s">
        <v>27</v>
      </c>
      <c r="C6" s="6" t="s">
        <v>28</v>
      </c>
      <c r="D6" s="6" t="s">
        <v>17</v>
      </c>
      <c r="E6" s="6" t="s">
        <v>18</v>
      </c>
      <c r="F6" s="6" t="s">
        <v>29</v>
      </c>
      <c r="G6" s="6" t="s">
        <v>20</v>
      </c>
      <c r="H6" s="6" t="s">
        <v>30</v>
      </c>
      <c r="I6" s="7">
        <v>45695</v>
      </c>
      <c r="J6" s="13">
        <v>83172</v>
      </c>
      <c r="K6" s="13">
        <v>84083</v>
      </c>
      <c r="L6" s="7"/>
      <c r="M6" s="7">
        <v>45835</v>
      </c>
      <c r="N6" s="7">
        <v>45706</v>
      </c>
    </row>
    <row r="7" spans="1:14">
      <c r="A7" s="6" t="s">
        <v>14</v>
      </c>
      <c r="B7" s="11" t="s">
        <v>31</v>
      </c>
      <c r="C7" s="6" t="s">
        <v>32</v>
      </c>
      <c r="D7" s="6" t="s">
        <v>24</v>
      </c>
      <c r="E7" s="6" t="s">
        <v>18</v>
      </c>
      <c r="F7" s="6" t="s">
        <v>33</v>
      </c>
      <c r="G7" s="6" t="s">
        <v>20</v>
      </c>
      <c r="H7" s="6" t="s">
        <v>66</v>
      </c>
      <c r="I7" s="7">
        <v>45695</v>
      </c>
      <c r="J7" s="13">
        <v>24948</v>
      </c>
      <c r="K7" s="13">
        <v>25837</v>
      </c>
      <c r="L7" s="7">
        <v>45700</v>
      </c>
      <c r="M7" s="7">
        <v>45723</v>
      </c>
      <c r="N7" s="7">
        <v>45707</v>
      </c>
    </row>
    <row r="8" spans="1:14">
      <c r="A8" s="29" t="s">
        <v>35</v>
      </c>
      <c r="B8" s="29" t="s">
        <v>36</v>
      </c>
      <c r="C8" s="29" t="s">
        <v>37</v>
      </c>
      <c r="D8" s="29" t="s">
        <v>38</v>
      </c>
      <c r="E8" s="29" t="s">
        <v>18</v>
      </c>
      <c r="F8" s="29" t="s">
        <v>39</v>
      </c>
      <c r="G8" s="29" t="s">
        <v>20</v>
      </c>
      <c r="H8" s="29" t="s">
        <v>67</v>
      </c>
      <c r="I8" s="30">
        <v>45695</v>
      </c>
      <c r="J8" s="31">
        <v>37094</v>
      </c>
      <c r="K8" s="31"/>
      <c r="L8" s="30">
        <v>45688</v>
      </c>
      <c r="M8" s="30">
        <v>45889</v>
      </c>
      <c r="N8" s="30"/>
    </row>
    <row r="9" spans="1:14">
      <c r="A9" s="5" t="s">
        <v>14</v>
      </c>
      <c r="B9" s="3" t="s">
        <v>31</v>
      </c>
      <c r="C9" s="5" t="s">
        <v>41</v>
      </c>
      <c r="D9" s="5" t="s">
        <v>24</v>
      </c>
      <c r="E9" s="5" t="s">
        <v>18</v>
      </c>
      <c r="F9" s="5" t="s">
        <v>42</v>
      </c>
      <c r="G9" s="5" t="s">
        <v>20</v>
      </c>
      <c r="H9" s="40" t="s">
        <v>77</v>
      </c>
      <c r="I9" s="7">
        <v>45695</v>
      </c>
      <c r="J9" s="18">
        <v>37820</v>
      </c>
      <c r="K9" s="18">
        <v>38582</v>
      </c>
      <c r="L9" s="7">
        <v>45702</v>
      </c>
      <c r="M9" s="17">
        <v>45737</v>
      </c>
      <c r="N9" s="7">
        <v>45707</v>
      </c>
    </row>
    <row r="10" spans="1:14">
      <c r="A10" s="6" t="s">
        <v>14</v>
      </c>
      <c r="B10" s="11" t="s">
        <v>31</v>
      </c>
      <c r="C10" s="6" t="s">
        <v>44</v>
      </c>
      <c r="D10" s="6" t="s">
        <v>24</v>
      </c>
      <c r="E10" s="6" t="s">
        <v>18</v>
      </c>
      <c r="F10" s="6" t="s">
        <v>45</v>
      </c>
      <c r="G10" s="6" t="s">
        <v>20</v>
      </c>
      <c r="H10" s="41" t="s">
        <v>46</v>
      </c>
      <c r="I10" s="7">
        <v>45695</v>
      </c>
      <c r="J10" s="13">
        <v>75808</v>
      </c>
      <c r="K10" s="13">
        <v>76233</v>
      </c>
      <c r="L10" s="7">
        <v>45699</v>
      </c>
      <c r="M10" s="7">
        <v>45716</v>
      </c>
      <c r="N10" s="7">
        <v>45705</v>
      </c>
    </row>
    <row r="11" spans="1:14">
      <c r="A11" s="6" t="s">
        <v>14</v>
      </c>
      <c r="B11" s="11" t="s">
        <v>31</v>
      </c>
      <c r="C11" s="6" t="s">
        <v>47</v>
      </c>
      <c r="D11" s="6" t="s">
        <v>24</v>
      </c>
      <c r="E11" s="6" t="s">
        <v>18</v>
      </c>
      <c r="F11" s="6" t="s">
        <v>48</v>
      </c>
      <c r="G11" s="6" t="s">
        <v>20</v>
      </c>
      <c r="H11" s="6" t="s">
        <v>78</v>
      </c>
      <c r="I11" s="7">
        <v>45695</v>
      </c>
      <c r="J11" s="13">
        <v>54045</v>
      </c>
      <c r="K11" s="13">
        <v>54976</v>
      </c>
      <c r="L11" s="7">
        <v>45702</v>
      </c>
      <c r="M11" s="7">
        <v>45751</v>
      </c>
      <c r="N11" s="7">
        <v>45709</v>
      </c>
    </row>
    <row r="12" spans="1:14">
      <c r="A12" s="29" t="s">
        <v>14</v>
      </c>
      <c r="B12" s="29" t="s">
        <v>31</v>
      </c>
      <c r="C12" s="29" t="s">
        <v>49</v>
      </c>
      <c r="D12" s="29" t="s">
        <v>24</v>
      </c>
      <c r="E12" s="29" t="s">
        <v>18</v>
      </c>
      <c r="F12" s="29" t="s">
        <v>50</v>
      </c>
      <c r="G12" s="29" t="s">
        <v>20</v>
      </c>
      <c r="H12" s="29" t="s">
        <v>70</v>
      </c>
      <c r="I12" s="30">
        <v>45695</v>
      </c>
      <c r="J12" s="31">
        <v>85030</v>
      </c>
      <c r="K12" s="31"/>
      <c r="L12" s="30">
        <v>45692</v>
      </c>
      <c r="M12" s="30">
        <v>45734</v>
      </c>
      <c r="N12" s="30"/>
    </row>
    <row r="13" spans="1:14">
      <c r="A13" s="5" t="s">
        <v>14</v>
      </c>
      <c r="B13" s="6" t="s">
        <v>22</v>
      </c>
      <c r="C13" s="5" t="s">
        <v>52</v>
      </c>
      <c r="D13" s="5" t="s">
        <v>24</v>
      </c>
      <c r="E13" s="5" t="s">
        <v>18</v>
      </c>
      <c r="F13" s="5" t="s">
        <v>53</v>
      </c>
      <c r="G13" s="5" t="s">
        <v>20</v>
      </c>
      <c r="H13" s="5" t="s">
        <v>79</v>
      </c>
      <c r="I13" s="7">
        <v>45695</v>
      </c>
      <c r="J13" s="13">
        <v>36497</v>
      </c>
      <c r="K13" s="13">
        <v>37053</v>
      </c>
      <c r="L13" s="7"/>
      <c r="M13" s="4">
        <v>45751</v>
      </c>
      <c r="N13" s="7">
        <v>45705</v>
      </c>
    </row>
    <row r="14" spans="1:14">
      <c r="A14" s="292" t="s">
        <v>55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</row>
    <row r="15" spans="1:14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56</v>
      </c>
      <c r="J15" s="1"/>
      <c r="K15" s="1" t="s">
        <v>57</v>
      </c>
      <c r="L15" s="1"/>
      <c r="M15" s="2" t="s">
        <v>13</v>
      </c>
      <c r="N15" s="38" t="s">
        <v>65</v>
      </c>
    </row>
    <row r="19" spans="5:12">
      <c r="E19" s="295" t="s">
        <v>73</v>
      </c>
      <c r="F19" s="295"/>
      <c r="G19" s="295"/>
      <c r="H19" s="295"/>
      <c r="I19" s="295"/>
    </row>
    <row r="20" spans="5:12">
      <c r="E20" s="295" t="s">
        <v>74</v>
      </c>
      <c r="F20" s="295"/>
      <c r="G20" s="295"/>
      <c r="H20" s="295"/>
      <c r="I20" s="295"/>
    </row>
    <row r="22" spans="5:12">
      <c r="K22" s="1" t="s">
        <v>4</v>
      </c>
      <c r="L22" s="2" t="s">
        <v>13</v>
      </c>
    </row>
    <row r="23" spans="5:12">
      <c r="K23" s="6" t="s">
        <v>32</v>
      </c>
      <c r="L23" s="7">
        <v>45723</v>
      </c>
    </row>
    <row r="24" spans="5:12">
      <c r="K24" s="6" t="s">
        <v>44</v>
      </c>
      <c r="L24" s="7">
        <v>45716</v>
      </c>
    </row>
    <row r="25" spans="5:12">
      <c r="K25" s="6" t="s">
        <v>23</v>
      </c>
      <c r="L25" s="7">
        <v>45716</v>
      </c>
    </row>
  </sheetData>
  <mergeCells count="3">
    <mergeCell ref="A14:N14"/>
    <mergeCell ref="E19:I19"/>
    <mergeCell ref="E20:I20"/>
  </mergeCells>
  <phoneticPr fontId="3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19"/>
  <sheetViews>
    <sheetView topLeftCell="A3" zoomScale="90" zoomScaleNormal="90" workbookViewId="0">
      <selection activeCell="G23" sqref="G23"/>
    </sheetView>
  </sheetViews>
  <sheetFormatPr defaultRowHeight="14.3"/>
  <cols>
    <col min="1" max="1" width="14.5" customWidth="1"/>
    <col min="2" max="2" width="18.5" bestFit="1" customWidth="1"/>
    <col min="3" max="3" width="8.5" customWidth="1"/>
    <col min="4" max="4" width="12.5" customWidth="1"/>
    <col min="5" max="5" width="11.5" customWidth="1"/>
    <col min="6" max="7" width="12.5" customWidth="1"/>
    <col min="8" max="8" width="18.5" bestFit="1" customWidth="1"/>
    <col min="9" max="10" width="20.5" customWidth="1"/>
    <col min="11" max="11" width="17.5" customWidth="1"/>
    <col min="12" max="12" width="12.875" customWidth="1"/>
    <col min="14" max="14" width="12.125" customWidth="1"/>
  </cols>
  <sheetData>
    <row r="2" spans="1:14" ht="41.45" customHeight="1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4" ht="27.7" customHeight="1">
      <c r="A3" s="290" t="s">
        <v>1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</row>
    <row r="4" spans="1:14" ht="1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2" t="s">
        <v>13</v>
      </c>
    </row>
    <row r="5" spans="1:14" ht="14.1" customHeight="1">
      <c r="A5" s="3" t="s">
        <v>14</v>
      </c>
      <c r="B5" s="5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10" t="s">
        <v>21</v>
      </c>
      <c r="I5" s="7">
        <v>45681</v>
      </c>
      <c r="J5" s="13">
        <v>143532</v>
      </c>
      <c r="K5" s="13">
        <v>144419</v>
      </c>
      <c r="L5" s="4">
        <v>45799</v>
      </c>
    </row>
    <row r="6" spans="1:14">
      <c r="A6" s="11" t="s">
        <v>14</v>
      </c>
      <c r="B6" s="6" t="s">
        <v>22</v>
      </c>
      <c r="C6" s="11" t="s">
        <v>23</v>
      </c>
      <c r="D6" s="11" t="s">
        <v>24</v>
      </c>
      <c r="E6" s="11" t="s">
        <v>18</v>
      </c>
      <c r="F6" s="3" t="s">
        <v>25</v>
      </c>
      <c r="G6" s="11" t="s">
        <v>20</v>
      </c>
      <c r="H6" s="12" t="s">
        <v>26</v>
      </c>
      <c r="I6" s="7">
        <v>45681</v>
      </c>
      <c r="J6" s="13">
        <v>48634</v>
      </c>
      <c r="K6" s="13">
        <v>49194</v>
      </c>
      <c r="L6" s="7">
        <v>45716</v>
      </c>
      <c r="N6">
        <v>2</v>
      </c>
    </row>
    <row r="7" spans="1:14">
      <c r="A7" s="6" t="s">
        <v>14</v>
      </c>
      <c r="B7" s="6" t="s">
        <v>27</v>
      </c>
      <c r="C7" s="6" t="s">
        <v>28</v>
      </c>
      <c r="D7" s="6" t="s">
        <v>17</v>
      </c>
      <c r="E7" s="6" t="s">
        <v>18</v>
      </c>
      <c r="F7" s="6" t="s">
        <v>29</v>
      </c>
      <c r="G7" s="6" t="s">
        <v>20</v>
      </c>
      <c r="H7" s="6" t="s">
        <v>30</v>
      </c>
      <c r="I7" s="7">
        <v>45681</v>
      </c>
      <c r="J7" s="13">
        <v>80833</v>
      </c>
      <c r="K7" s="13">
        <v>81449</v>
      </c>
      <c r="L7" s="7">
        <v>45835</v>
      </c>
    </row>
    <row r="8" spans="1:14" s="19" customFormat="1">
      <c r="A8" s="3" t="s">
        <v>14</v>
      </c>
      <c r="B8" s="3" t="s">
        <v>31</v>
      </c>
      <c r="C8" s="3" t="s">
        <v>32</v>
      </c>
      <c r="D8" s="3" t="s">
        <v>24</v>
      </c>
      <c r="E8" s="3" t="s">
        <v>18</v>
      </c>
      <c r="F8" s="3" t="s">
        <v>33</v>
      </c>
      <c r="G8" s="3" t="s">
        <v>20</v>
      </c>
      <c r="H8" s="3" t="s">
        <v>34</v>
      </c>
      <c r="I8" s="7">
        <v>45681</v>
      </c>
      <c r="J8" s="18">
        <v>23572</v>
      </c>
      <c r="K8" s="18">
        <v>24382</v>
      </c>
      <c r="L8" s="17">
        <v>45723</v>
      </c>
    </row>
    <row r="9" spans="1:14" s="32" customFormat="1">
      <c r="A9" s="28" t="s">
        <v>35</v>
      </c>
      <c r="B9" s="29" t="s">
        <v>36</v>
      </c>
      <c r="C9" s="29" t="s">
        <v>37</v>
      </c>
      <c r="D9" s="29" t="s">
        <v>38</v>
      </c>
      <c r="E9" s="29" t="s">
        <v>18</v>
      </c>
      <c r="F9" s="29" t="s">
        <v>39</v>
      </c>
      <c r="G9" s="29" t="s">
        <v>20</v>
      </c>
      <c r="H9" s="28" t="s">
        <v>40</v>
      </c>
      <c r="I9" s="30">
        <v>45674</v>
      </c>
      <c r="J9" s="31">
        <v>36236</v>
      </c>
      <c r="K9" s="31"/>
      <c r="L9" s="30">
        <v>45889</v>
      </c>
      <c r="M9" s="32" t="s">
        <v>60</v>
      </c>
    </row>
    <row r="10" spans="1:14" s="19" customFormat="1">
      <c r="A10" s="5" t="s">
        <v>14</v>
      </c>
      <c r="B10" s="3" t="s">
        <v>31</v>
      </c>
      <c r="C10" s="5" t="s">
        <v>41</v>
      </c>
      <c r="D10" s="5" t="s">
        <v>24</v>
      </c>
      <c r="E10" s="5" t="s">
        <v>18</v>
      </c>
      <c r="F10" s="5" t="s">
        <v>42</v>
      </c>
      <c r="G10" s="5" t="s">
        <v>20</v>
      </c>
      <c r="H10" s="5" t="s">
        <v>43</v>
      </c>
      <c r="I10" s="17">
        <v>45681</v>
      </c>
      <c r="J10" s="31" t="s">
        <v>61</v>
      </c>
      <c r="K10" s="18">
        <v>35910</v>
      </c>
      <c r="L10" s="17">
        <v>45737</v>
      </c>
    </row>
    <row r="11" spans="1:14">
      <c r="A11" s="6" t="s">
        <v>14</v>
      </c>
      <c r="B11" s="11" t="s">
        <v>31</v>
      </c>
      <c r="C11" s="6" t="s">
        <v>44</v>
      </c>
      <c r="D11" s="6" t="s">
        <v>24</v>
      </c>
      <c r="E11" s="6" t="s">
        <v>18</v>
      </c>
      <c r="F11" s="5" t="s">
        <v>45</v>
      </c>
      <c r="G11" s="6" t="s">
        <v>20</v>
      </c>
      <c r="H11" s="6" t="s">
        <v>46</v>
      </c>
      <c r="I11" s="7">
        <v>45681</v>
      </c>
      <c r="J11" s="13">
        <v>74047</v>
      </c>
      <c r="K11" s="13">
        <v>74613</v>
      </c>
      <c r="L11" s="7">
        <v>45716</v>
      </c>
    </row>
    <row r="12" spans="1:14">
      <c r="A12" s="6" t="s">
        <v>14</v>
      </c>
      <c r="B12" s="11" t="s">
        <v>31</v>
      </c>
      <c r="C12" s="6" t="s">
        <v>47</v>
      </c>
      <c r="D12" s="6" t="s">
        <v>24</v>
      </c>
      <c r="E12" s="6" t="s">
        <v>18</v>
      </c>
      <c r="F12" s="6" t="s">
        <v>48</v>
      </c>
      <c r="G12" s="6" t="s">
        <v>20</v>
      </c>
      <c r="H12" s="6" t="s">
        <v>46</v>
      </c>
      <c r="I12" s="7">
        <v>45681</v>
      </c>
      <c r="J12" s="13">
        <v>52304</v>
      </c>
      <c r="K12" s="13">
        <v>52935</v>
      </c>
      <c r="L12" s="7">
        <v>45751</v>
      </c>
    </row>
    <row r="13" spans="1:14" s="19" customFormat="1">
      <c r="A13" s="5" t="s">
        <v>14</v>
      </c>
      <c r="B13" s="3" t="s">
        <v>31</v>
      </c>
      <c r="C13" s="5" t="s">
        <v>49</v>
      </c>
      <c r="D13" s="5" t="s">
        <v>24</v>
      </c>
      <c r="E13" s="5" t="s">
        <v>18</v>
      </c>
      <c r="F13" s="5" t="s">
        <v>50</v>
      </c>
      <c r="G13" s="5" t="s">
        <v>20</v>
      </c>
      <c r="H13" s="5" t="s">
        <v>51</v>
      </c>
      <c r="I13" s="17">
        <v>45681</v>
      </c>
      <c r="J13" s="18">
        <v>84067</v>
      </c>
      <c r="K13" s="18">
        <v>84180</v>
      </c>
      <c r="L13" s="17">
        <v>45734</v>
      </c>
    </row>
    <row r="14" spans="1:14">
      <c r="A14" s="5" t="s">
        <v>14</v>
      </c>
      <c r="B14" s="6" t="s">
        <v>22</v>
      </c>
      <c r="C14" s="5" t="s">
        <v>52</v>
      </c>
      <c r="D14" s="5" t="s">
        <v>24</v>
      </c>
      <c r="E14" s="5" t="s">
        <v>18</v>
      </c>
      <c r="F14" s="5" t="s">
        <v>53</v>
      </c>
      <c r="G14" s="5" t="s">
        <v>20</v>
      </c>
      <c r="H14" s="5" t="s">
        <v>54</v>
      </c>
      <c r="I14" s="7">
        <v>45681</v>
      </c>
      <c r="J14" s="13">
        <v>35187</v>
      </c>
      <c r="K14" s="13">
        <v>35628</v>
      </c>
      <c r="L14" s="4">
        <v>45751</v>
      </c>
    </row>
    <row r="15" spans="1:14">
      <c r="A15" s="292" t="s">
        <v>55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294"/>
    </row>
    <row r="16" spans="1:14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56</v>
      </c>
      <c r="J16" s="1"/>
      <c r="K16" s="1" t="s">
        <v>57</v>
      </c>
      <c r="L16" s="2" t="s">
        <v>13</v>
      </c>
    </row>
    <row r="18" spans="3:8">
      <c r="C18" s="5" t="s">
        <v>52</v>
      </c>
      <c r="D18" s="5" t="s">
        <v>24</v>
      </c>
      <c r="E18" s="5" t="s">
        <v>18</v>
      </c>
      <c r="F18" s="5" t="s">
        <v>53</v>
      </c>
      <c r="G18" s="26" t="s">
        <v>62</v>
      </c>
    </row>
    <row r="19" spans="3:8">
      <c r="C19" s="6" t="s">
        <v>44</v>
      </c>
      <c r="D19" s="6" t="s">
        <v>24</v>
      </c>
      <c r="E19" s="6" t="s">
        <v>18</v>
      </c>
      <c r="F19" s="5" t="s">
        <v>45</v>
      </c>
      <c r="H19" s="27" t="s">
        <v>63</v>
      </c>
    </row>
  </sheetData>
  <mergeCells count="2">
    <mergeCell ref="A3:L3"/>
    <mergeCell ref="A15:L1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20"/>
  <sheetViews>
    <sheetView zoomScale="90" zoomScaleNormal="90" workbookViewId="0">
      <selection activeCell="F7" sqref="F7"/>
    </sheetView>
  </sheetViews>
  <sheetFormatPr defaultRowHeight="14.3"/>
  <cols>
    <col min="1" max="1" width="14.5" customWidth="1"/>
    <col min="2" max="2" width="18.5" bestFit="1" customWidth="1"/>
    <col min="3" max="3" width="8.5" customWidth="1"/>
    <col min="4" max="4" width="12.5" customWidth="1"/>
    <col min="5" max="5" width="11.5" customWidth="1"/>
    <col min="6" max="7" width="12.5" customWidth="1"/>
    <col min="8" max="8" width="18.5" bestFit="1" customWidth="1"/>
    <col min="9" max="9" width="20.5" hidden="1" customWidth="1"/>
    <col min="10" max="10" width="12.875" bestFit="1" customWidth="1"/>
    <col min="11" max="11" width="17.5" bestFit="1" customWidth="1"/>
    <col min="12" max="12" width="10.5" bestFit="1" customWidth="1"/>
    <col min="13" max="13" width="17.5" bestFit="1" customWidth="1"/>
    <col min="14" max="14" width="19" customWidth="1"/>
    <col min="15" max="15" width="12.125" customWidth="1"/>
  </cols>
  <sheetData>
    <row r="2" spans="1:15" ht="41.45" customHeight="1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5" ht="27.7" customHeight="1">
      <c r="A3" s="290" t="s">
        <v>1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</row>
    <row r="4" spans="1:15" ht="1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76</v>
      </c>
      <c r="M4" s="2" t="s">
        <v>13</v>
      </c>
    </row>
    <row r="5" spans="1:15" ht="14.1" customHeight="1">
      <c r="A5" s="3" t="s">
        <v>14</v>
      </c>
      <c r="B5" s="5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10" t="s">
        <v>21</v>
      </c>
      <c r="I5" s="7">
        <v>45688</v>
      </c>
      <c r="J5" s="13">
        <v>144419</v>
      </c>
      <c r="K5" s="13">
        <v>145252</v>
      </c>
      <c r="L5" s="7">
        <v>45691</v>
      </c>
      <c r="M5" s="4">
        <v>45799</v>
      </c>
      <c r="N5" t="s">
        <v>80</v>
      </c>
    </row>
    <row r="6" spans="1:15" s="32" customFormat="1">
      <c r="A6" s="29" t="s">
        <v>14</v>
      </c>
      <c r="B6" s="28" t="s">
        <v>22</v>
      </c>
      <c r="C6" s="29" t="s">
        <v>23</v>
      </c>
      <c r="D6" s="29" t="s">
        <v>24</v>
      </c>
      <c r="E6" s="29" t="s">
        <v>18</v>
      </c>
      <c r="F6" s="29" t="s">
        <v>25</v>
      </c>
      <c r="G6" s="29" t="s">
        <v>20</v>
      </c>
      <c r="H6" s="33" t="s">
        <v>66</v>
      </c>
      <c r="I6" s="30">
        <v>45688</v>
      </c>
      <c r="J6" s="31">
        <v>49194</v>
      </c>
      <c r="K6" s="31"/>
      <c r="L6" s="30">
        <v>45685</v>
      </c>
      <c r="M6" s="30">
        <v>45716</v>
      </c>
      <c r="N6" s="32" t="s">
        <v>81</v>
      </c>
      <c r="O6" s="32">
        <v>2</v>
      </c>
    </row>
    <row r="7" spans="1:15">
      <c r="A7" s="6" t="s">
        <v>14</v>
      </c>
      <c r="B7" s="6" t="s">
        <v>27</v>
      </c>
      <c r="C7" s="6" t="s">
        <v>28</v>
      </c>
      <c r="D7" s="6" t="s">
        <v>17</v>
      </c>
      <c r="E7" s="6" t="s">
        <v>18</v>
      </c>
      <c r="F7" s="6" t="s">
        <v>29</v>
      </c>
      <c r="G7" s="6" t="s">
        <v>20</v>
      </c>
      <c r="H7" s="6" t="s">
        <v>30</v>
      </c>
      <c r="I7" s="7">
        <v>45688</v>
      </c>
      <c r="J7" s="13">
        <v>81449</v>
      </c>
      <c r="K7" s="13">
        <v>82349</v>
      </c>
      <c r="L7" s="7">
        <v>45692</v>
      </c>
      <c r="M7" s="7">
        <v>45835</v>
      </c>
    </row>
    <row r="8" spans="1:15" s="19" customFormat="1">
      <c r="A8" s="3" t="s">
        <v>14</v>
      </c>
      <c r="B8" s="3" t="s">
        <v>31</v>
      </c>
      <c r="C8" s="3" t="s">
        <v>32</v>
      </c>
      <c r="D8" s="3" t="s">
        <v>24</v>
      </c>
      <c r="E8" s="3" t="s">
        <v>18</v>
      </c>
      <c r="F8" s="3" t="s">
        <v>33</v>
      </c>
      <c r="G8" s="3" t="s">
        <v>20</v>
      </c>
      <c r="H8" s="3" t="s">
        <v>66</v>
      </c>
      <c r="I8" s="7">
        <v>45688</v>
      </c>
      <c r="J8" s="18">
        <v>24382</v>
      </c>
      <c r="K8" s="18">
        <v>24948</v>
      </c>
      <c r="L8" s="15" t="s">
        <v>82</v>
      </c>
      <c r="M8" s="17">
        <v>45723</v>
      </c>
    </row>
    <row r="9" spans="1:15">
      <c r="A9" s="6" t="s">
        <v>35</v>
      </c>
      <c r="B9" s="11" t="s">
        <v>36</v>
      </c>
      <c r="C9" s="6" t="s">
        <v>37</v>
      </c>
      <c r="D9" s="6" t="s">
        <v>38</v>
      </c>
      <c r="E9" s="6" t="s">
        <v>18</v>
      </c>
      <c r="F9" s="6" t="s">
        <v>39</v>
      </c>
      <c r="G9" s="6" t="s">
        <v>20</v>
      </c>
      <c r="H9" s="6" t="s">
        <v>67</v>
      </c>
      <c r="I9" s="7">
        <v>45674</v>
      </c>
      <c r="J9" s="13"/>
      <c r="K9" s="13">
        <v>36368</v>
      </c>
      <c r="L9" s="7">
        <v>45688</v>
      </c>
      <c r="M9" s="7">
        <v>45889</v>
      </c>
    </row>
    <row r="10" spans="1:15" s="19" customFormat="1">
      <c r="A10" s="5" t="s">
        <v>14</v>
      </c>
      <c r="B10" s="3" t="s">
        <v>31</v>
      </c>
      <c r="C10" s="5" t="s">
        <v>41</v>
      </c>
      <c r="D10" s="5" t="s">
        <v>24</v>
      </c>
      <c r="E10" s="5" t="s">
        <v>18</v>
      </c>
      <c r="F10" s="5" t="s">
        <v>42</v>
      </c>
      <c r="G10" s="5" t="s">
        <v>20</v>
      </c>
      <c r="H10" s="5" t="s">
        <v>46</v>
      </c>
      <c r="I10" s="17">
        <v>45681</v>
      </c>
      <c r="J10" s="18">
        <v>35910</v>
      </c>
      <c r="K10" s="18">
        <v>36833</v>
      </c>
      <c r="L10" s="15">
        <v>45695</v>
      </c>
      <c r="M10" s="17">
        <v>45737</v>
      </c>
    </row>
    <row r="11" spans="1:15">
      <c r="A11" s="6" t="s">
        <v>14</v>
      </c>
      <c r="B11" s="11" t="s">
        <v>31</v>
      </c>
      <c r="C11" s="6" t="s">
        <v>44</v>
      </c>
      <c r="D11" s="6" t="s">
        <v>24</v>
      </c>
      <c r="E11" s="6" t="s">
        <v>18</v>
      </c>
      <c r="F11" s="6" t="s">
        <v>45</v>
      </c>
      <c r="G11" s="6" t="s">
        <v>20</v>
      </c>
      <c r="H11" s="6" t="s">
        <v>77</v>
      </c>
      <c r="I11" s="7">
        <v>45681</v>
      </c>
      <c r="J11" s="13">
        <v>74613</v>
      </c>
      <c r="K11" s="13"/>
      <c r="L11" s="7">
        <v>45685</v>
      </c>
      <c r="M11" s="7">
        <v>45716</v>
      </c>
    </row>
    <row r="12" spans="1:15">
      <c r="A12" s="6" t="s">
        <v>14</v>
      </c>
      <c r="B12" s="11" t="s">
        <v>31</v>
      </c>
      <c r="C12" s="6" t="s">
        <v>47</v>
      </c>
      <c r="D12" s="6" t="s">
        <v>24</v>
      </c>
      <c r="E12" s="6" t="s">
        <v>18</v>
      </c>
      <c r="F12" s="6" t="s">
        <v>48</v>
      </c>
      <c r="G12" s="6" t="s">
        <v>20</v>
      </c>
      <c r="H12" s="6" t="s">
        <v>78</v>
      </c>
      <c r="I12" s="7">
        <v>45681</v>
      </c>
      <c r="J12" s="13">
        <v>52935</v>
      </c>
      <c r="K12" s="13">
        <v>53573</v>
      </c>
      <c r="L12" s="7">
        <v>45691</v>
      </c>
      <c r="M12" s="7">
        <v>45751</v>
      </c>
    </row>
    <row r="13" spans="1:15" s="19" customFormat="1">
      <c r="A13" s="5" t="s">
        <v>14</v>
      </c>
      <c r="B13" s="3" t="s">
        <v>31</v>
      </c>
      <c r="C13" s="5" t="s">
        <v>49</v>
      </c>
      <c r="D13" s="5" t="s">
        <v>24</v>
      </c>
      <c r="E13" s="5" t="s">
        <v>18</v>
      </c>
      <c r="F13" s="5" t="s">
        <v>50</v>
      </c>
      <c r="G13" s="5" t="s">
        <v>20</v>
      </c>
      <c r="H13" s="5" t="s">
        <v>70</v>
      </c>
      <c r="I13" s="17">
        <v>45681</v>
      </c>
      <c r="J13" s="18">
        <v>84180</v>
      </c>
      <c r="K13" s="18">
        <v>84541</v>
      </c>
      <c r="L13" s="17">
        <v>45692</v>
      </c>
      <c r="M13" s="17">
        <v>45734</v>
      </c>
    </row>
    <row r="14" spans="1:15">
      <c r="A14" s="5" t="s">
        <v>14</v>
      </c>
      <c r="B14" s="6" t="s">
        <v>22</v>
      </c>
      <c r="C14" s="5" t="s">
        <v>52</v>
      </c>
      <c r="D14" s="5" t="s">
        <v>24</v>
      </c>
      <c r="E14" s="5" t="s">
        <v>18</v>
      </c>
      <c r="F14" s="5" t="s">
        <v>53</v>
      </c>
      <c r="G14" s="5" t="s">
        <v>20</v>
      </c>
      <c r="H14" s="5" t="s">
        <v>79</v>
      </c>
      <c r="I14" s="7">
        <v>45681</v>
      </c>
      <c r="J14" s="13">
        <v>35628</v>
      </c>
      <c r="K14" s="13">
        <v>36111</v>
      </c>
      <c r="L14" s="7">
        <v>45693</v>
      </c>
      <c r="M14" s="4">
        <v>45751</v>
      </c>
    </row>
    <row r="15" spans="1:15">
      <c r="A15" s="292" t="s">
        <v>55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4"/>
    </row>
    <row r="16" spans="1:15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56</v>
      </c>
      <c r="J16" s="1"/>
      <c r="K16" s="1" t="s">
        <v>57</v>
      </c>
      <c r="L16" s="1"/>
      <c r="M16" s="2" t="s">
        <v>13</v>
      </c>
    </row>
    <row r="18" spans="3:11">
      <c r="C18" s="5" t="s">
        <v>52</v>
      </c>
      <c r="D18" s="5" t="s">
        <v>24</v>
      </c>
      <c r="E18" s="5" t="s">
        <v>18</v>
      </c>
      <c r="F18" s="5" t="s">
        <v>53</v>
      </c>
      <c r="G18" s="26" t="s">
        <v>62</v>
      </c>
    </row>
    <row r="19" spans="3:11">
      <c r="C19" s="6" t="s">
        <v>44</v>
      </c>
      <c r="D19" s="6" t="s">
        <v>24</v>
      </c>
      <c r="E19" s="6" t="s">
        <v>18</v>
      </c>
      <c r="F19" s="5" t="s">
        <v>45</v>
      </c>
      <c r="H19" s="27" t="s">
        <v>63</v>
      </c>
    </row>
    <row r="20" spans="3:11">
      <c r="C20" s="29" t="s">
        <v>14</v>
      </c>
      <c r="D20" s="28" t="s">
        <v>22</v>
      </c>
      <c r="E20" s="29" t="s">
        <v>23</v>
      </c>
      <c r="F20" s="29" t="s">
        <v>24</v>
      </c>
      <c r="G20" s="29" t="s">
        <v>18</v>
      </c>
      <c r="H20" s="29" t="s">
        <v>25</v>
      </c>
      <c r="I20" s="34" t="s">
        <v>83</v>
      </c>
      <c r="K20" s="35" t="s">
        <v>81</v>
      </c>
    </row>
  </sheetData>
  <mergeCells count="2">
    <mergeCell ref="A3:M3"/>
    <mergeCell ref="A15:M1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19"/>
  <sheetViews>
    <sheetView workbookViewId="0">
      <selection activeCell="I20" sqref="I20"/>
    </sheetView>
  </sheetViews>
  <sheetFormatPr defaultRowHeight="14.3"/>
  <cols>
    <col min="1" max="1" width="26.875" customWidth="1"/>
    <col min="2" max="2" width="15.625" bestFit="1" customWidth="1"/>
    <col min="7" max="7" width="14.625" customWidth="1"/>
    <col min="8" max="8" width="24.5" customWidth="1"/>
    <col min="9" max="9" width="16.125" bestFit="1" customWidth="1"/>
    <col min="10" max="10" width="12.5" customWidth="1"/>
    <col min="11" max="11" width="12.125" customWidth="1"/>
    <col min="12" max="13" width="10.5" bestFit="1" customWidth="1"/>
    <col min="14" max="14" width="12.5" bestFit="1" customWidth="1"/>
  </cols>
  <sheetData>
    <row r="2" spans="1:15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5">
      <c r="A3" s="36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76</v>
      </c>
      <c r="M4" s="2" t="s">
        <v>13</v>
      </c>
      <c r="N4" s="38" t="s">
        <v>65</v>
      </c>
    </row>
    <row r="5" spans="1:15">
      <c r="A5" s="3" t="s">
        <v>14</v>
      </c>
      <c r="B5" s="5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10" t="s">
        <v>21</v>
      </c>
      <c r="I5" s="7">
        <v>45688</v>
      </c>
      <c r="J5" s="13">
        <v>145252</v>
      </c>
      <c r="K5" s="13">
        <v>145675</v>
      </c>
      <c r="L5" s="7">
        <v>45691</v>
      </c>
      <c r="M5" s="4">
        <v>45799</v>
      </c>
      <c r="N5" s="7">
        <v>45700</v>
      </c>
    </row>
    <row r="6" spans="1:15">
      <c r="A6" s="29" t="s">
        <v>14</v>
      </c>
      <c r="B6" s="28" t="s">
        <v>22</v>
      </c>
      <c r="C6" s="29" t="s">
        <v>23</v>
      </c>
      <c r="D6" s="29" t="s">
        <v>24</v>
      </c>
      <c r="E6" s="29" t="s">
        <v>18</v>
      </c>
      <c r="F6" s="29" t="s">
        <v>25</v>
      </c>
      <c r="G6" s="29" t="s">
        <v>20</v>
      </c>
      <c r="H6" s="33" t="s">
        <v>66</v>
      </c>
      <c r="I6" s="30">
        <v>45688</v>
      </c>
      <c r="J6" s="31">
        <v>49194</v>
      </c>
      <c r="K6" s="31"/>
      <c r="L6" s="30">
        <v>45685</v>
      </c>
      <c r="M6" s="30">
        <v>45716</v>
      </c>
      <c r="N6" s="30"/>
      <c r="O6" s="32" t="s">
        <v>81</v>
      </c>
    </row>
    <row r="7" spans="1:15">
      <c r="A7" s="6" t="s">
        <v>14</v>
      </c>
      <c r="B7" s="6" t="s">
        <v>27</v>
      </c>
      <c r="C7" s="6" t="s">
        <v>28</v>
      </c>
      <c r="D7" s="6" t="s">
        <v>17</v>
      </c>
      <c r="E7" s="6" t="s">
        <v>18</v>
      </c>
      <c r="F7" s="6" t="s">
        <v>29</v>
      </c>
      <c r="G7" s="6" t="s">
        <v>20</v>
      </c>
      <c r="H7" s="6" t="s">
        <v>30</v>
      </c>
      <c r="I7" s="7">
        <v>45688</v>
      </c>
      <c r="J7" s="13">
        <v>82349</v>
      </c>
      <c r="K7" s="13">
        <v>83172</v>
      </c>
      <c r="L7" s="7">
        <v>45692</v>
      </c>
      <c r="M7" s="7">
        <v>45835</v>
      </c>
      <c r="N7" s="7">
        <v>45699</v>
      </c>
    </row>
    <row r="8" spans="1:15">
      <c r="A8" s="29" t="s">
        <v>14</v>
      </c>
      <c r="B8" s="29" t="s">
        <v>31</v>
      </c>
      <c r="C8" s="29" t="s">
        <v>32</v>
      </c>
      <c r="D8" s="29" t="s">
        <v>24</v>
      </c>
      <c r="E8" s="29" t="s">
        <v>18</v>
      </c>
      <c r="F8" s="29" t="s">
        <v>33</v>
      </c>
      <c r="G8" s="29" t="s">
        <v>20</v>
      </c>
      <c r="H8" s="29" t="s">
        <v>66</v>
      </c>
      <c r="I8" s="30">
        <v>45688</v>
      </c>
      <c r="J8" s="31">
        <v>24948</v>
      </c>
      <c r="K8" s="31"/>
      <c r="L8" s="30" t="s">
        <v>82</v>
      </c>
      <c r="M8" s="30">
        <v>45723</v>
      </c>
      <c r="N8" s="30"/>
      <c r="O8" s="32" t="s">
        <v>84</v>
      </c>
    </row>
    <row r="9" spans="1:15">
      <c r="A9" s="6" t="s">
        <v>35</v>
      </c>
      <c r="B9" s="11" t="s">
        <v>36</v>
      </c>
      <c r="C9" s="6" t="s">
        <v>37</v>
      </c>
      <c r="D9" s="6" t="s">
        <v>38</v>
      </c>
      <c r="E9" s="6" t="s">
        <v>18</v>
      </c>
      <c r="F9" s="6" t="s">
        <v>39</v>
      </c>
      <c r="G9" s="6" t="s">
        <v>20</v>
      </c>
      <c r="H9" s="6" t="s">
        <v>67</v>
      </c>
      <c r="I9" s="7">
        <v>45674</v>
      </c>
      <c r="J9" s="13">
        <v>36368</v>
      </c>
      <c r="K9" s="13">
        <v>37094</v>
      </c>
      <c r="L9" s="7">
        <v>45688</v>
      </c>
      <c r="M9" s="7">
        <v>45889</v>
      </c>
      <c r="N9" s="7"/>
    </row>
    <row r="10" spans="1:15">
      <c r="A10" s="5" t="s">
        <v>14</v>
      </c>
      <c r="B10" s="3" t="s">
        <v>31</v>
      </c>
      <c r="C10" s="5" t="s">
        <v>41</v>
      </c>
      <c r="D10" s="5" t="s">
        <v>24</v>
      </c>
      <c r="E10" s="5" t="s">
        <v>18</v>
      </c>
      <c r="F10" s="5" t="s">
        <v>42</v>
      </c>
      <c r="G10" s="5" t="s">
        <v>20</v>
      </c>
      <c r="H10" s="5" t="s">
        <v>46</v>
      </c>
      <c r="I10" s="17">
        <v>45681</v>
      </c>
      <c r="J10" s="18">
        <v>36833</v>
      </c>
      <c r="K10" s="18">
        <v>37820</v>
      </c>
      <c r="L10" s="15">
        <v>45695</v>
      </c>
      <c r="M10" s="17">
        <v>45737</v>
      </c>
      <c r="N10" s="7">
        <v>45702</v>
      </c>
    </row>
    <row r="11" spans="1:15">
      <c r="A11" s="6" t="s">
        <v>14</v>
      </c>
      <c r="B11" s="11" t="s">
        <v>31</v>
      </c>
      <c r="C11" s="6" t="s">
        <v>44</v>
      </c>
      <c r="D11" s="6" t="s">
        <v>24</v>
      </c>
      <c r="E11" s="6" t="s">
        <v>18</v>
      </c>
      <c r="F11" s="6" t="s">
        <v>45</v>
      </c>
      <c r="G11" s="6" t="s">
        <v>20</v>
      </c>
      <c r="H11" s="6" t="s">
        <v>77</v>
      </c>
      <c r="I11" s="7">
        <v>45681</v>
      </c>
      <c r="J11" s="13">
        <v>74613</v>
      </c>
      <c r="K11" s="13">
        <v>75808</v>
      </c>
      <c r="L11" s="7">
        <v>45685</v>
      </c>
      <c r="M11" s="7">
        <v>45716</v>
      </c>
      <c r="N11" s="7">
        <v>45699</v>
      </c>
    </row>
    <row r="12" spans="1:15">
      <c r="A12" s="6" t="s">
        <v>14</v>
      </c>
      <c r="B12" s="11" t="s">
        <v>31</v>
      </c>
      <c r="C12" s="6" t="s">
        <v>47</v>
      </c>
      <c r="D12" s="6" t="s">
        <v>24</v>
      </c>
      <c r="E12" s="6" t="s">
        <v>18</v>
      </c>
      <c r="F12" s="6" t="s">
        <v>48</v>
      </c>
      <c r="G12" s="6" t="s">
        <v>20</v>
      </c>
      <c r="H12" s="6" t="s">
        <v>78</v>
      </c>
      <c r="I12" s="7">
        <v>45681</v>
      </c>
      <c r="J12" s="13">
        <v>53573</v>
      </c>
      <c r="K12" s="13">
        <v>54045</v>
      </c>
      <c r="L12" s="7">
        <v>45691</v>
      </c>
      <c r="M12" s="7">
        <v>45751</v>
      </c>
      <c r="N12" s="7">
        <v>45701</v>
      </c>
    </row>
    <row r="13" spans="1:15">
      <c r="A13" s="5" t="s">
        <v>14</v>
      </c>
      <c r="B13" s="3" t="s">
        <v>31</v>
      </c>
      <c r="C13" s="5" t="s">
        <v>49</v>
      </c>
      <c r="D13" s="5" t="s">
        <v>24</v>
      </c>
      <c r="E13" s="5" t="s">
        <v>18</v>
      </c>
      <c r="F13" s="5" t="s">
        <v>50</v>
      </c>
      <c r="G13" s="5" t="s">
        <v>20</v>
      </c>
      <c r="H13" s="5" t="s">
        <v>70</v>
      </c>
      <c r="I13" s="17">
        <v>45681</v>
      </c>
      <c r="J13" s="18">
        <v>84541</v>
      </c>
      <c r="K13" s="18">
        <v>85030</v>
      </c>
      <c r="L13" s="17">
        <v>45692</v>
      </c>
      <c r="M13" s="17">
        <v>45734</v>
      </c>
      <c r="N13" s="17">
        <v>45700</v>
      </c>
    </row>
    <row r="14" spans="1:15">
      <c r="A14" s="5" t="s">
        <v>14</v>
      </c>
      <c r="B14" s="6" t="s">
        <v>22</v>
      </c>
      <c r="C14" s="5" t="s">
        <v>52</v>
      </c>
      <c r="D14" s="5" t="s">
        <v>24</v>
      </c>
      <c r="E14" s="5" t="s">
        <v>18</v>
      </c>
      <c r="F14" s="5" t="s">
        <v>53</v>
      </c>
      <c r="G14" s="5" t="s">
        <v>20</v>
      </c>
      <c r="H14" s="5" t="s">
        <v>79</v>
      </c>
      <c r="I14" s="7">
        <v>45681</v>
      </c>
      <c r="J14" s="13">
        <v>36111</v>
      </c>
      <c r="K14" s="13">
        <v>36497</v>
      </c>
      <c r="L14" s="7">
        <v>45693</v>
      </c>
      <c r="M14" s="4">
        <v>45751</v>
      </c>
      <c r="N14" s="7">
        <v>45701</v>
      </c>
    </row>
    <row r="15" spans="1:15">
      <c r="A15" s="292" t="s">
        <v>55</v>
      </c>
      <c r="B15" s="293"/>
      <c r="C15" s="293"/>
      <c r="D15" s="293"/>
      <c r="E15" s="293"/>
      <c r="F15" s="293"/>
      <c r="G15" s="293"/>
      <c r="H15" s="293"/>
      <c r="I15" s="293"/>
      <c r="J15" s="293"/>
      <c r="K15" s="293"/>
      <c r="L15" s="293"/>
      <c r="M15" s="293"/>
      <c r="N15" s="293"/>
    </row>
    <row r="16" spans="1:15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56</v>
      </c>
      <c r="J16" s="1"/>
      <c r="K16" s="1" t="s">
        <v>57</v>
      </c>
      <c r="L16" s="1"/>
      <c r="M16" s="2" t="s">
        <v>13</v>
      </c>
      <c r="N16" s="38" t="s">
        <v>65</v>
      </c>
    </row>
    <row r="18" spans="3:9">
      <c r="C18" s="29" t="s">
        <v>23</v>
      </c>
      <c r="D18" s="29" t="s">
        <v>24</v>
      </c>
      <c r="E18" s="29" t="s">
        <v>18</v>
      </c>
      <c r="F18" s="29" t="s">
        <v>25</v>
      </c>
      <c r="G18" s="298" t="s">
        <v>85</v>
      </c>
      <c r="H18" s="298"/>
      <c r="I18" s="39" t="s">
        <v>86</v>
      </c>
    </row>
    <row r="19" spans="3:9">
      <c r="C19" s="29" t="s">
        <v>32</v>
      </c>
      <c r="D19" s="29" t="s">
        <v>24</v>
      </c>
      <c r="E19" s="29" t="s">
        <v>18</v>
      </c>
      <c r="F19" s="29" t="s">
        <v>33</v>
      </c>
      <c r="G19" s="298" t="s">
        <v>87</v>
      </c>
      <c r="H19" s="298"/>
      <c r="I19" s="39" t="s">
        <v>88</v>
      </c>
    </row>
  </sheetData>
  <mergeCells count="3">
    <mergeCell ref="G18:H18"/>
    <mergeCell ref="G19:H19"/>
    <mergeCell ref="A15:N15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L9" sqref="L9"/>
    </sheetView>
  </sheetViews>
  <sheetFormatPr defaultRowHeight="14.3"/>
  <cols>
    <col min="1" max="1" width="13.875" customWidth="1"/>
    <col min="2" max="2" width="18" customWidth="1"/>
    <col min="8" max="8" width="14.125" hidden="1" customWidth="1"/>
    <col min="9" max="9" width="14.125" customWidth="1"/>
    <col min="10" max="10" width="12.125" customWidth="1"/>
    <col min="11" max="11" width="11.125" customWidth="1"/>
    <col min="12" max="12" width="14.5" customWidth="1"/>
    <col min="13" max="13" width="10.875" customWidth="1"/>
    <col min="14" max="14" width="12.625" customWidth="1"/>
  </cols>
  <sheetData>
    <row r="1" spans="1:1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56</v>
      </c>
      <c r="J3" s="1" t="s">
        <v>11</v>
      </c>
      <c r="K3" s="1" t="s">
        <v>12</v>
      </c>
      <c r="L3" s="42" t="s">
        <v>64</v>
      </c>
      <c r="M3" s="2" t="s">
        <v>13</v>
      </c>
      <c r="N3" s="38" t="s">
        <v>65</v>
      </c>
    </row>
    <row r="4" spans="1:14">
      <c r="A4" s="3" t="s">
        <v>14</v>
      </c>
      <c r="B4" s="5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10" t="s">
        <v>21</v>
      </c>
      <c r="I4" s="7">
        <v>45723</v>
      </c>
      <c r="J4" s="18">
        <v>148438</v>
      </c>
      <c r="K4" s="18">
        <v>148691</v>
      </c>
      <c r="L4" s="7">
        <v>45712</v>
      </c>
      <c r="M4" s="4">
        <v>45799</v>
      </c>
      <c r="N4" s="7">
        <v>45727</v>
      </c>
    </row>
    <row r="5" spans="1:14">
      <c r="A5" s="6" t="s">
        <v>14</v>
      </c>
      <c r="B5" s="6" t="s">
        <v>22</v>
      </c>
      <c r="C5" s="6" t="s">
        <v>23</v>
      </c>
      <c r="D5" s="6" t="s">
        <v>24</v>
      </c>
      <c r="E5" s="6" t="s">
        <v>18</v>
      </c>
      <c r="F5" s="6" t="s">
        <v>25</v>
      </c>
      <c r="G5" s="6" t="s">
        <v>20</v>
      </c>
      <c r="H5" s="6" t="s">
        <v>66</v>
      </c>
      <c r="I5" s="7">
        <v>45723</v>
      </c>
      <c r="J5" s="13">
        <v>50458</v>
      </c>
      <c r="K5" s="13">
        <v>51219</v>
      </c>
      <c r="L5" s="7">
        <v>45714</v>
      </c>
      <c r="M5" s="7">
        <v>45716</v>
      </c>
      <c r="N5" s="7">
        <v>45727</v>
      </c>
    </row>
    <row r="6" spans="1:14">
      <c r="A6" s="6" t="s">
        <v>14</v>
      </c>
      <c r="B6" s="6" t="s">
        <v>27</v>
      </c>
      <c r="C6" s="6" t="s">
        <v>28</v>
      </c>
      <c r="D6" s="6" t="s">
        <v>17</v>
      </c>
      <c r="E6" s="6" t="s">
        <v>18</v>
      </c>
      <c r="F6" s="6" t="s">
        <v>29</v>
      </c>
      <c r="G6" s="6" t="s">
        <v>20</v>
      </c>
      <c r="H6" s="6" t="s">
        <v>30</v>
      </c>
      <c r="I6" s="7">
        <v>45723</v>
      </c>
      <c r="J6" s="13">
        <v>85531</v>
      </c>
      <c r="K6" s="13">
        <v>85969</v>
      </c>
      <c r="L6" s="7">
        <v>45715</v>
      </c>
      <c r="M6" s="7">
        <v>45835</v>
      </c>
      <c r="N6" s="7">
        <v>45728</v>
      </c>
    </row>
    <row r="7" spans="1:14">
      <c r="A7" s="6" t="s">
        <v>14</v>
      </c>
      <c r="B7" s="11" t="s">
        <v>31</v>
      </c>
      <c r="C7" s="6" t="s">
        <v>32</v>
      </c>
      <c r="D7" s="6" t="s">
        <v>24</v>
      </c>
      <c r="E7" s="6" t="s">
        <v>18</v>
      </c>
      <c r="F7" s="6" t="s">
        <v>33</v>
      </c>
      <c r="G7" s="6" t="s">
        <v>20</v>
      </c>
      <c r="H7" s="6" t="s">
        <v>66</v>
      </c>
      <c r="I7" s="7">
        <v>45723</v>
      </c>
      <c r="J7" s="13">
        <v>27303</v>
      </c>
      <c r="K7" s="13">
        <v>27607</v>
      </c>
      <c r="L7" s="7"/>
      <c r="M7" s="7">
        <v>45723</v>
      </c>
      <c r="N7" s="7">
        <v>45729</v>
      </c>
    </row>
    <row r="8" spans="1:14">
      <c r="A8" s="29" t="s">
        <v>35</v>
      </c>
      <c r="B8" s="29" t="s">
        <v>36</v>
      </c>
      <c r="C8" s="29" t="s">
        <v>37</v>
      </c>
      <c r="D8" s="29" t="s">
        <v>38</v>
      </c>
      <c r="E8" s="29" t="s">
        <v>18</v>
      </c>
      <c r="F8" s="29" t="s">
        <v>39</v>
      </c>
      <c r="G8" s="29" t="s">
        <v>20</v>
      </c>
      <c r="H8" s="29" t="s">
        <v>67</v>
      </c>
      <c r="I8" s="30">
        <v>45695</v>
      </c>
      <c r="J8" s="31">
        <v>37094</v>
      </c>
      <c r="K8" s="31"/>
      <c r="L8" s="30"/>
      <c r="M8" s="30">
        <v>45889</v>
      </c>
      <c r="N8" s="30"/>
    </row>
    <row r="9" spans="1:14">
      <c r="A9" s="28" t="s">
        <v>14</v>
      </c>
      <c r="B9" s="29" t="s">
        <v>31</v>
      </c>
      <c r="C9" s="28" t="s">
        <v>41</v>
      </c>
      <c r="D9" s="28" t="s">
        <v>24</v>
      </c>
      <c r="E9" s="28" t="s">
        <v>18</v>
      </c>
      <c r="F9" s="28" t="s">
        <v>42</v>
      </c>
      <c r="G9" s="28" t="s">
        <v>20</v>
      </c>
      <c r="H9" s="45" t="s">
        <v>68</v>
      </c>
      <c r="I9" s="30">
        <v>45723</v>
      </c>
      <c r="J9" s="31">
        <v>40151</v>
      </c>
      <c r="K9" s="31"/>
      <c r="L9" s="30">
        <v>45716</v>
      </c>
      <c r="M9" s="30">
        <v>45737</v>
      </c>
      <c r="N9" s="30">
        <v>45730</v>
      </c>
    </row>
    <row r="10" spans="1:14">
      <c r="A10" s="6" t="s">
        <v>14</v>
      </c>
      <c r="B10" s="11" t="s">
        <v>31</v>
      </c>
      <c r="C10" s="6" t="s">
        <v>44</v>
      </c>
      <c r="D10" s="6" t="s">
        <v>24</v>
      </c>
      <c r="E10" s="6" t="s">
        <v>18</v>
      </c>
      <c r="F10" s="6" t="s">
        <v>45</v>
      </c>
      <c r="G10" s="6" t="s">
        <v>20</v>
      </c>
      <c r="H10" s="41" t="s">
        <v>46</v>
      </c>
      <c r="I10" s="7">
        <v>45723</v>
      </c>
      <c r="J10" s="13">
        <v>77357</v>
      </c>
      <c r="K10" s="13">
        <v>77531</v>
      </c>
      <c r="L10" s="7">
        <v>45713</v>
      </c>
      <c r="M10" s="7">
        <v>45716</v>
      </c>
      <c r="N10" s="7">
        <v>45729</v>
      </c>
    </row>
    <row r="11" spans="1:14">
      <c r="A11" s="6" t="s">
        <v>14</v>
      </c>
      <c r="B11" s="11" t="s">
        <v>31</v>
      </c>
      <c r="C11" s="6" t="s">
        <v>47</v>
      </c>
      <c r="D11" s="6" t="s">
        <v>24</v>
      </c>
      <c r="E11" s="6" t="s">
        <v>18</v>
      </c>
      <c r="F11" s="6" t="s">
        <v>48</v>
      </c>
      <c r="G11" s="6" t="s">
        <v>20</v>
      </c>
      <c r="H11" s="6" t="s">
        <v>69</v>
      </c>
      <c r="I11" s="7">
        <v>45723</v>
      </c>
      <c r="J11" s="13">
        <v>56028</v>
      </c>
      <c r="K11" s="13">
        <v>56501</v>
      </c>
      <c r="L11" s="7">
        <v>45716</v>
      </c>
      <c r="M11" s="7">
        <v>45751</v>
      </c>
      <c r="N11" s="7">
        <v>45727</v>
      </c>
    </row>
    <row r="12" spans="1:14">
      <c r="A12" s="29" t="s">
        <v>14</v>
      </c>
      <c r="B12" s="29" t="s">
        <v>31</v>
      </c>
      <c r="C12" s="29" t="s">
        <v>49</v>
      </c>
      <c r="D12" s="29" t="s">
        <v>24</v>
      </c>
      <c r="E12" s="29" t="s">
        <v>18</v>
      </c>
      <c r="F12" s="29" t="s">
        <v>50</v>
      </c>
      <c r="G12" s="29" t="s">
        <v>20</v>
      </c>
      <c r="H12" s="29" t="s">
        <v>70</v>
      </c>
      <c r="I12" s="30">
        <v>45709</v>
      </c>
      <c r="J12" s="31">
        <v>85030</v>
      </c>
      <c r="K12" s="31"/>
      <c r="L12" s="30"/>
      <c r="M12" s="30">
        <v>45734</v>
      </c>
      <c r="N12" s="30"/>
    </row>
    <row r="13" spans="1:14">
      <c r="A13" s="5" t="s">
        <v>14</v>
      </c>
      <c r="B13" s="6" t="s">
        <v>22</v>
      </c>
      <c r="C13" s="5" t="s">
        <v>52</v>
      </c>
      <c r="D13" s="5" t="s">
        <v>24</v>
      </c>
      <c r="E13" s="5" t="s">
        <v>18</v>
      </c>
      <c r="F13" s="5" t="s">
        <v>53</v>
      </c>
      <c r="G13" s="5" t="s">
        <v>20</v>
      </c>
      <c r="H13" s="5" t="s">
        <v>71</v>
      </c>
      <c r="I13" s="7">
        <v>45723</v>
      </c>
      <c r="J13" s="13">
        <v>38443</v>
      </c>
      <c r="K13" s="13">
        <v>38941</v>
      </c>
      <c r="L13" s="7">
        <v>45714</v>
      </c>
      <c r="M13" s="4">
        <v>45751</v>
      </c>
      <c r="N13" s="7">
        <v>45727</v>
      </c>
    </row>
    <row r="14" spans="1:14">
      <c r="A14" s="292" t="s">
        <v>55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</row>
    <row r="15" spans="1:14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56</v>
      </c>
      <c r="J15" s="1"/>
      <c r="K15" s="1" t="s">
        <v>57</v>
      </c>
      <c r="L15" s="1"/>
      <c r="M15" s="2" t="s">
        <v>13</v>
      </c>
      <c r="N15" s="38" t="s">
        <v>65</v>
      </c>
    </row>
    <row r="17" spans="5:14">
      <c r="E17" s="295" t="s">
        <v>89</v>
      </c>
      <c r="F17" s="295"/>
      <c r="G17" s="295"/>
      <c r="H17" s="295"/>
      <c r="I17" s="295"/>
    </row>
    <row r="18" spans="5:14">
      <c r="E18" s="295" t="s">
        <v>72</v>
      </c>
      <c r="F18" s="295"/>
      <c r="G18" s="295"/>
      <c r="H18" s="295"/>
      <c r="I18" s="295"/>
    </row>
    <row r="19" spans="5:14">
      <c r="E19" s="295" t="s">
        <v>73</v>
      </c>
      <c r="F19" s="295"/>
      <c r="G19" s="295"/>
      <c r="H19" s="295"/>
      <c r="I19" s="295"/>
    </row>
    <row r="20" spans="5:14">
      <c r="E20" s="295" t="s">
        <v>74</v>
      </c>
      <c r="F20" s="295"/>
      <c r="G20" s="295"/>
      <c r="H20" s="295"/>
      <c r="I20" s="295"/>
    </row>
    <row r="21" spans="5:14">
      <c r="E21" s="299" t="s">
        <v>90</v>
      </c>
      <c r="F21" s="295"/>
      <c r="G21" s="295"/>
      <c r="H21" s="295"/>
      <c r="I21" s="295"/>
    </row>
    <row r="22" spans="5:14">
      <c r="K22" s="1" t="s">
        <v>4</v>
      </c>
      <c r="L22" s="2" t="s">
        <v>13</v>
      </c>
    </row>
    <row r="23" spans="5:14">
      <c r="K23" s="6" t="s">
        <v>32</v>
      </c>
      <c r="L23" s="7">
        <v>45723</v>
      </c>
    </row>
    <row r="24" spans="5:14">
      <c r="K24" s="6" t="s">
        <v>44</v>
      </c>
      <c r="L24" s="7">
        <v>45716</v>
      </c>
    </row>
    <row r="25" spans="5:14">
      <c r="K25" s="6" t="s">
        <v>23</v>
      </c>
      <c r="L25" s="7">
        <v>45716</v>
      </c>
      <c r="M25" s="296"/>
      <c r="N25" s="297"/>
    </row>
  </sheetData>
  <mergeCells count="7">
    <mergeCell ref="A14:N14"/>
    <mergeCell ref="E18:I18"/>
    <mergeCell ref="E19:I19"/>
    <mergeCell ref="E20:I20"/>
    <mergeCell ref="M25:N25"/>
    <mergeCell ref="E17:I17"/>
    <mergeCell ref="E21:I2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E16" sqref="E16:I16"/>
    </sheetView>
  </sheetViews>
  <sheetFormatPr defaultRowHeight="14.3"/>
  <cols>
    <col min="1" max="1" width="13" customWidth="1"/>
    <col min="2" max="2" width="12.875" customWidth="1"/>
    <col min="8" max="8" width="18.5" bestFit="1" customWidth="1"/>
    <col min="9" max="9" width="10.5" bestFit="1" customWidth="1"/>
    <col min="12" max="12" width="13.875" bestFit="1" customWidth="1"/>
    <col min="13" max="13" width="13" bestFit="1" customWidth="1"/>
  </cols>
  <sheetData>
    <row r="1" spans="1:1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42" t="s">
        <v>64</v>
      </c>
      <c r="M3" s="38" t="s">
        <v>65</v>
      </c>
    </row>
    <row r="4" spans="1:13">
      <c r="A4" s="3" t="s">
        <v>14</v>
      </c>
      <c r="B4" s="5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10" t="s">
        <v>21</v>
      </c>
      <c r="I4" s="7">
        <v>45730</v>
      </c>
      <c r="J4" s="18">
        <v>148691</v>
      </c>
      <c r="K4" s="18">
        <v>149622</v>
      </c>
      <c r="L4" s="7">
        <v>45712</v>
      </c>
      <c r="M4" s="7">
        <v>45733</v>
      </c>
    </row>
    <row r="5" spans="1:13">
      <c r="A5" s="6" t="s">
        <v>14</v>
      </c>
      <c r="B5" s="6" t="s">
        <v>22</v>
      </c>
      <c r="C5" s="6" t="s">
        <v>23</v>
      </c>
      <c r="D5" s="6" t="s">
        <v>24</v>
      </c>
      <c r="E5" s="6" t="s">
        <v>18</v>
      </c>
      <c r="F5" s="6" t="s">
        <v>25</v>
      </c>
      <c r="G5" s="6" t="s">
        <v>20</v>
      </c>
      <c r="H5" s="6" t="s">
        <v>66</v>
      </c>
      <c r="I5" s="7">
        <v>45730</v>
      </c>
      <c r="J5" s="13">
        <v>51219</v>
      </c>
      <c r="K5" s="13">
        <v>51496</v>
      </c>
      <c r="L5" s="7">
        <v>45714</v>
      </c>
      <c r="M5" s="7">
        <v>45735</v>
      </c>
    </row>
    <row r="6" spans="1:13">
      <c r="A6" s="6" t="s">
        <v>14</v>
      </c>
      <c r="B6" s="6" t="s">
        <v>27</v>
      </c>
      <c r="C6" s="6" t="s">
        <v>28</v>
      </c>
      <c r="D6" s="6" t="s">
        <v>17</v>
      </c>
      <c r="E6" s="6" t="s">
        <v>18</v>
      </c>
      <c r="F6" s="6" t="s">
        <v>29</v>
      </c>
      <c r="G6" s="6" t="s">
        <v>20</v>
      </c>
      <c r="H6" s="6" t="s">
        <v>30</v>
      </c>
      <c r="I6" s="7">
        <v>45730</v>
      </c>
      <c r="J6" s="13">
        <v>85969</v>
      </c>
      <c r="K6" s="13">
        <v>86602</v>
      </c>
      <c r="L6" s="7">
        <v>45715</v>
      </c>
      <c r="M6" s="7">
        <v>45735</v>
      </c>
    </row>
    <row r="7" spans="1:13">
      <c r="A7" s="6" t="s">
        <v>14</v>
      </c>
      <c r="B7" s="11" t="s">
        <v>31</v>
      </c>
      <c r="C7" s="6" t="s">
        <v>32</v>
      </c>
      <c r="D7" s="6" t="s">
        <v>24</v>
      </c>
      <c r="E7" s="6" t="s">
        <v>18</v>
      </c>
      <c r="F7" s="6" t="s">
        <v>33</v>
      </c>
      <c r="G7" s="6" t="s">
        <v>20</v>
      </c>
      <c r="H7" s="6" t="s">
        <v>66</v>
      </c>
      <c r="I7" s="7">
        <v>45730</v>
      </c>
      <c r="J7" s="13">
        <v>27607</v>
      </c>
      <c r="K7" s="13">
        <v>27852</v>
      </c>
      <c r="L7" s="7"/>
      <c r="M7" s="7">
        <v>45734</v>
      </c>
    </row>
    <row r="8" spans="1:13">
      <c r="A8" s="6" t="s">
        <v>14</v>
      </c>
      <c r="B8" s="11" t="s">
        <v>31</v>
      </c>
      <c r="C8" s="6" t="s">
        <v>41</v>
      </c>
      <c r="D8" s="6" t="s">
        <v>24</v>
      </c>
      <c r="E8" s="6" t="s">
        <v>18</v>
      </c>
      <c r="F8" s="6" t="s">
        <v>42</v>
      </c>
      <c r="G8" s="6" t="s">
        <v>20</v>
      </c>
      <c r="H8" s="41" t="s">
        <v>91</v>
      </c>
      <c r="I8" s="7">
        <v>45730</v>
      </c>
      <c r="J8" s="13">
        <v>40151</v>
      </c>
      <c r="K8" s="13">
        <v>40589</v>
      </c>
      <c r="L8" s="7">
        <v>45716</v>
      </c>
      <c r="M8" s="7">
        <v>45734</v>
      </c>
    </row>
    <row r="9" spans="1:13">
      <c r="A9" s="28" t="s">
        <v>14</v>
      </c>
      <c r="B9" s="29" t="s">
        <v>31</v>
      </c>
      <c r="C9" s="28" t="s">
        <v>44</v>
      </c>
      <c r="D9" s="28" t="s">
        <v>24</v>
      </c>
      <c r="E9" s="28" t="s">
        <v>18</v>
      </c>
      <c r="F9" s="28" t="s">
        <v>45</v>
      </c>
      <c r="G9" s="28" t="s">
        <v>20</v>
      </c>
      <c r="H9" s="46" t="s">
        <v>46</v>
      </c>
      <c r="I9" s="30">
        <v>45723</v>
      </c>
      <c r="J9" s="31">
        <v>77531</v>
      </c>
      <c r="K9" s="31"/>
      <c r="L9" s="30">
        <v>45723</v>
      </c>
      <c r="M9" s="30">
        <v>45729</v>
      </c>
    </row>
    <row r="10" spans="1:13">
      <c r="A10" s="6" t="s">
        <v>14</v>
      </c>
      <c r="B10" s="11" t="s">
        <v>31</v>
      </c>
      <c r="C10" s="6" t="s">
        <v>47</v>
      </c>
      <c r="D10" s="6" t="s">
        <v>24</v>
      </c>
      <c r="E10" s="6" t="s">
        <v>18</v>
      </c>
      <c r="F10" s="6" t="s">
        <v>48</v>
      </c>
      <c r="G10" s="6" t="s">
        <v>20</v>
      </c>
      <c r="H10" s="6" t="s">
        <v>69</v>
      </c>
      <c r="I10" s="7">
        <v>45730</v>
      </c>
      <c r="J10" s="13">
        <v>56501</v>
      </c>
      <c r="K10" s="13">
        <v>57024</v>
      </c>
      <c r="L10" s="7">
        <v>45723</v>
      </c>
      <c r="M10" s="7">
        <v>45733</v>
      </c>
    </row>
    <row r="11" spans="1:13">
      <c r="A11" s="6" t="s">
        <v>14</v>
      </c>
      <c r="B11" s="11" t="s">
        <v>92</v>
      </c>
      <c r="C11" s="6" t="s">
        <v>49</v>
      </c>
      <c r="D11" s="6" t="s">
        <v>24</v>
      </c>
      <c r="E11" s="6" t="s">
        <v>18</v>
      </c>
      <c r="F11" s="6" t="s">
        <v>93</v>
      </c>
      <c r="G11" s="6" t="s">
        <v>20</v>
      </c>
      <c r="H11" s="6" t="s">
        <v>94</v>
      </c>
      <c r="I11" s="7">
        <v>45730</v>
      </c>
      <c r="J11" s="13"/>
      <c r="K11" s="13">
        <v>530</v>
      </c>
      <c r="L11" s="7"/>
      <c r="M11" s="7"/>
    </row>
    <row r="12" spans="1:13">
      <c r="A12" s="5" t="s">
        <v>14</v>
      </c>
      <c r="B12" s="6" t="s">
        <v>22</v>
      </c>
      <c r="C12" s="5" t="s">
        <v>52</v>
      </c>
      <c r="D12" s="5" t="s">
        <v>24</v>
      </c>
      <c r="E12" s="5" t="s">
        <v>18</v>
      </c>
      <c r="F12" s="5" t="s">
        <v>53</v>
      </c>
      <c r="G12" s="5" t="s">
        <v>20</v>
      </c>
      <c r="H12" s="5" t="s">
        <v>71</v>
      </c>
      <c r="I12" s="7">
        <v>45730</v>
      </c>
      <c r="J12" s="13">
        <v>38941</v>
      </c>
      <c r="K12" s="13">
        <v>39447</v>
      </c>
      <c r="L12" s="7">
        <v>45727</v>
      </c>
      <c r="M12" s="7">
        <v>45733</v>
      </c>
    </row>
    <row r="13" spans="1:13">
      <c r="A13" s="292" t="s">
        <v>55</v>
      </c>
      <c r="B13" s="293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</row>
    <row r="14" spans="1:13">
      <c r="A14" s="1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56</v>
      </c>
      <c r="J14" s="1"/>
      <c r="K14" s="1" t="s">
        <v>57</v>
      </c>
      <c r="L14" s="1"/>
      <c r="M14" s="38" t="s">
        <v>65</v>
      </c>
    </row>
    <row r="16" spans="1:13">
      <c r="E16" s="295" t="s">
        <v>95</v>
      </c>
      <c r="F16" s="295"/>
      <c r="G16" s="295"/>
      <c r="H16" s="295"/>
      <c r="I16" s="295"/>
    </row>
    <row r="17" spans="5:13">
      <c r="E17" s="295" t="s">
        <v>72</v>
      </c>
      <c r="F17" s="295"/>
      <c r="G17" s="295"/>
      <c r="H17" s="295"/>
      <c r="I17" s="295"/>
    </row>
    <row r="18" spans="5:13">
      <c r="E18" s="299" t="s">
        <v>90</v>
      </c>
      <c r="F18" s="295"/>
      <c r="G18" s="295"/>
      <c r="H18" s="295"/>
      <c r="I18" s="295"/>
    </row>
    <row r="22" spans="5:13">
      <c r="M22" s="44"/>
    </row>
  </sheetData>
  <mergeCells count="4">
    <mergeCell ref="A13:M13"/>
    <mergeCell ref="E16:I16"/>
    <mergeCell ref="E17:I17"/>
    <mergeCell ref="E18:I1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M4" sqref="M4"/>
    </sheetView>
  </sheetViews>
  <sheetFormatPr defaultRowHeight="14.3"/>
  <cols>
    <col min="1" max="1" width="16.125" customWidth="1"/>
    <col min="2" max="2" width="16.375" customWidth="1"/>
    <col min="3" max="3" width="5.5" bestFit="1" customWidth="1"/>
    <col min="4" max="4" width="8.5" bestFit="1" customWidth="1"/>
    <col min="5" max="5" width="9.5" bestFit="1" customWidth="1"/>
    <col min="6" max="6" width="8.875" bestFit="1" customWidth="1"/>
    <col min="7" max="7" width="8.125" bestFit="1" customWidth="1"/>
    <col min="8" max="8" width="18.5" bestFit="1" customWidth="1"/>
    <col min="9" max="9" width="10.5" bestFit="1" customWidth="1"/>
    <col min="10" max="10" width="12.5" bestFit="1" customWidth="1"/>
    <col min="11" max="11" width="10" bestFit="1" customWidth="1"/>
    <col min="12" max="12" width="13.875" bestFit="1" customWidth="1"/>
    <col min="13" max="13" width="13.125" customWidth="1"/>
  </cols>
  <sheetData>
    <row r="1" spans="1:1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42" t="s">
        <v>64</v>
      </c>
      <c r="M3" s="38" t="s">
        <v>65</v>
      </c>
    </row>
    <row r="4" spans="1:13">
      <c r="A4" s="3" t="s">
        <v>14</v>
      </c>
      <c r="B4" s="5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10" t="s">
        <v>21</v>
      </c>
      <c r="I4" s="7">
        <v>45737</v>
      </c>
      <c r="J4" s="18">
        <v>149622</v>
      </c>
      <c r="K4" s="18">
        <v>150527</v>
      </c>
      <c r="L4" s="7">
        <v>45734</v>
      </c>
      <c r="M4" s="7">
        <v>45744</v>
      </c>
    </row>
    <row r="5" spans="1:13">
      <c r="A5" s="6" t="s">
        <v>14</v>
      </c>
      <c r="B5" s="6" t="s">
        <v>22</v>
      </c>
      <c r="C5" s="6" t="s">
        <v>23</v>
      </c>
      <c r="D5" s="6" t="s">
        <v>24</v>
      </c>
      <c r="E5" s="6" t="s">
        <v>18</v>
      </c>
      <c r="F5" s="6" t="s">
        <v>25</v>
      </c>
      <c r="G5" s="6" t="s">
        <v>20</v>
      </c>
      <c r="H5" s="6" t="s">
        <v>66</v>
      </c>
      <c r="I5" s="7">
        <v>45737</v>
      </c>
      <c r="J5" s="13">
        <v>51496</v>
      </c>
      <c r="K5" s="13"/>
      <c r="L5" s="7">
        <v>45714</v>
      </c>
      <c r="M5" s="7">
        <v>45740</v>
      </c>
    </row>
    <row r="6" spans="1:13">
      <c r="A6" s="6" t="s">
        <v>14</v>
      </c>
      <c r="B6" s="6" t="s">
        <v>27</v>
      </c>
      <c r="C6" s="6" t="s">
        <v>28</v>
      </c>
      <c r="D6" s="6" t="s">
        <v>17</v>
      </c>
      <c r="E6" s="6" t="s">
        <v>18</v>
      </c>
      <c r="F6" s="6" t="s">
        <v>29</v>
      </c>
      <c r="G6" s="6" t="s">
        <v>20</v>
      </c>
      <c r="H6" s="6" t="s">
        <v>30</v>
      </c>
      <c r="I6" s="7">
        <v>45737</v>
      </c>
      <c r="J6" s="13">
        <v>86602</v>
      </c>
      <c r="K6" s="13">
        <v>87335</v>
      </c>
      <c r="L6" s="7">
        <v>45735</v>
      </c>
      <c r="M6" s="7">
        <v>45744</v>
      </c>
    </row>
    <row r="7" spans="1:13">
      <c r="A7" s="6" t="s">
        <v>14</v>
      </c>
      <c r="B7" s="11" t="s">
        <v>31</v>
      </c>
      <c r="C7" s="6" t="s">
        <v>32</v>
      </c>
      <c r="D7" s="6" t="s">
        <v>24</v>
      </c>
      <c r="E7" s="6" t="s">
        <v>18</v>
      </c>
      <c r="F7" s="6" t="s">
        <v>33</v>
      </c>
      <c r="G7" s="6" t="s">
        <v>20</v>
      </c>
      <c r="H7" s="6" t="s">
        <v>66</v>
      </c>
      <c r="I7" s="7">
        <v>45737</v>
      </c>
      <c r="J7" s="13">
        <v>27852</v>
      </c>
      <c r="K7" s="13"/>
      <c r="L7" s="7"/>
      <c r="M7" s="7"/>
    </row>
    <row r="8" spans="1:13">
      <c r="A8" s="6" t="s">
        <v>14</v>
      </c>
      <c r="B8" s="11" t="s">
        <v>31</v>
      </c>
      <c r="C8" s="6" t="s">
        <v>41</v>
      </c>
      <c r="D8" s="6" t="s">
        <v>24</v>
      </c>
      <c r="E8" s="6" t="s">
        <v>18</v>
      </c>
      <c r="F8" s="6" t="s">
        <v>42</v>
      </c>
      <c r="G8" s="6" t="s">
        <v>20</v>
      </c>
      <c r="H8" s="41" t="s">
        <v>91</v>
      </c>
      <c r="I8" s="7">
        <v>45737</v>
      </c>
      <c r="J8" s="13">
        <v>40589</v>
      </c>
      <c r="K8" s="13">
        <v>41204</v>
      </c>
      <c r="L8" s="7">
        <v>45733</v>
      </c>
      <c r="M8" s="7">
        <v>45740</v>
      </c>
    </row>
    <row r="9" spans="1:13">
      <c r="A9" s="6" t="s">
        <v>14</v>
      </c>
      <c r="B9" s="11" t="s">
        <v>31</v>
      </c>
      <c r="C9" s="6" t="s">
        <v>44</v>
      </c>
      <c r="D9" s="6" t="s">
        <v>24</v>
      </c>
      <c r="E9" s="6" t="s">
        <v>18</v>
      </c>
      <c r="F9" s="6" t="s">
        <v>45</v>
      </c>
      <c r="G9" s="6" t="s">
        <v>20</v>
      </c>
      <c r="H9" s="41"/>
      <c r="I9" s="7">
        <v>45723</v>
      </c>
      <c r="J9" s="13">
        <v>77531</v>
      </c>
      <c r="K9" s="13"/>
      <c r="L9" s="7">
        <v>45723</v>
      </c>
      <c r="M9" s="7">
        <v>45740</v>
      </c>
    </row>
    <row r="10" spans="1:13">
      <c r="A10" s="6" t="s">
        <v>14</v>
      </c>
      <c r="B10" s="11" t="s">
        <v>31</v>
      </c>
      <c r="C10" s="6" t="s">
        <v>47</v>
      </c>
      <c r="D10" s="6" t="s">
        <v>24</v>
      </c>
      <c r="E10" s="6" t="s">
        <v>18</v>
      </c>
      <c r="F10" s="6" t="s">
        <v>48</v>
      </c>
      <c r="G10" s="6" t="s">
        <v>20</v>
      </c>
      <c r="H10" s="6" t="s">
        <v>69</v>
      </c>
      <c r="I10" s="7">
        <v>45737</v>
      </c>
      <c r="J10" s="13">
        <v>57024</v>
      </c>
      <c r="K10" s="13"/>
      <c r="L10" s="7">
        <v>45723</v>
      </c>
      <c r="M10" s="7">
        <v>45741</v>
      </c>
    </row>
    <row r="11" spans="1:13">
      <c r="A11" s="6" t="s">
        <v>14</v>
      </c>
      <c r="B11" s="11" t="s">
        <v>92</v>
      </c>
      <c r="C11" s="6" t="s">
        <v>49</v>
      </c>
      <c r="D11" s="6" t="s">
        <v>24</v>
      </c>
      <c r="E11" s="6" t="s">
        <v>18</v>
      </c>
      <c r="F11" s="6" t="s">
        <v>93</v>
      </c>
      <c r="G11" s="6" t="s">
        <v>20</v>
      </c>
      <c r="H11" s="6" t="s">
        <v>94</v>
      </c>
      <c r="I11" s="7">
        <v>45737</v>
      </c>
      <c r="J11" s="13">
        <v>530</v>
      </c>
      <c r="K11" s="13">
        <v>985</v>
      </c>
      <c r="L11" s="7"/>
      <c r="M11" s="7">
        <v>45742</v>
      </c>
    </row>
    <row r="12" spans="1:13">
      <c r="A12" s="6" t="s">
        <v>96</v>
      </c>
      <c r="B12" s="11" t="s">
        <v>97</v>
      </c>
      <c r="C12" s="6" t="s">
        <v>98</v>
      </c>
      <c r="D12" s="6" t="s">
        <v>99</v>
      </c>
      <c r="E12" s="6" t="s">
        <v>18</v>
      </c>
      <c r="F12" s="6" t="s">
        <v>100</v>
      </c>
      <c r="G12" s="6" t="s">
        <v>20</v>
      </c>
      <c r="H12" s="6" t="s">
        <v>101</v>
      </c>
      <c r="I12" s="7">
        <v>45737</v>
      </c>
      <c r="J12" s="13"/>
      <c r="K12" s="13"/>
      <c r="L12" s="7"/>
      <c r="M12" s="7"/>
    </row>
    <row r="13" spans="1:13">
      <c r="A13" s="5" t="s">
        <v>14</v>
      </c>
      <c r="B13" s="6" t="s">
        <v>22</v>
      </c>
      <c r="C13" s="5" t="s">
        <v>52</v>
      </c>
      <c r="D13" s="5" t="s">
        <v>24</v>
      </c>
      <c r="E13" s="5" t="s">
        <v>18</v>
      </c>
      <c r="F13" s="5" t="s">
        <v>53</v>
      </c>
      <c r="G13" s="5" t="s">
        <v>20</v>
      </c>
      <c r="H13" s="5" t="s">
        <v>71</v>
      </c>
      <c r="I13" s="7">
        <v>45737</v>
      </c>
      <c r="J13" s="13">
        <v>39447</v>
      </c>
      <c r="K13" s="13">
        <v>39685</v>
      </c>
      <c r="L13" s="7">
        <v>45727</v>
      </c>
      <c r="M13" s="7">
        <v>45740</v>
      </c>
    </row>
    <row r="14" spans="1:13">
      <c r="A14" s="292" t="s">
        <v>55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</row>
    <row r="15" spans="1:13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56</v>
      </c>
      <c r="J15" s="1"/>
      <c r="K15" s="1" t="s">
        <v>57</v>
      </c>
      <c r="L15" s="1"/>
      <c r="M15" s="38" t="s">
        <v>65</v>
      </c>
    </row>
    <row r="18" spans="5:9">
      <c r="E18" s="295" t="s">
        <v>72</v>
      </c>
      <c r="F18" s="295"/>
      <c r="G18" s="295"/>
      <c r="H18" s="295"/>
      <c r="I18" s="295"/>
    </row>
    <row r="19" spans="5:9">
      <c r="E19" s="299" t="s">
        <v>90</v>
      </c>
      <c r="F19" s="295"/>
      <c r="G19" s="295"/>
      <c r="H19" s="295"/>
      <c r="I19" s="295"/>
    </row>
    <row r="20" spans="5:9">
      <c r="E20" s="299" t="s">
        <v>102</v>
      </c>
      <c r="F20" s="295"/>
      <c r="G20" s="295"/>
      <c r="H20" s="295"/>
      <c r="I20" s="295"/>
    </row>
  </sheetData>
  <mergeCells count="4">
    <mergeCell ref="A14:M14"/>
    <mergeCell ref="E18:I18"/>
    <mergeCell ref="E19:I19"/>
    <mergeCell ref="E20:I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>
      <selection activeCell="M4" sqref="M4"/>
    </sheetView>
  </sheetViews>
  <sheetFormatPr defaultRowHeight="14.3"/>
  <cols>
    <col min="1" max="1" width="18.375" customWidth="1"/>
    <col min="2" max="2" width="15.625" bestFit="1" customWidth="1"/>
    <col min="8" max="8" width="18.5" bestFit="1" customWidth="1"/>
    <col min="9" max="9" width="10.5" bestFit="1" customWidth="1"/>
    <col min="10" max="10" width="12.5" bestFit="1" customWidth="1"/>
    <col min="11" max="11" width="13.5" customWidth="1"/>
    <col min="12" max="12" width="13.875" bestFit="1" customWidth="1"/>
    <col min="13" max="13" width="21.625" bestFit="1" customWidth="1"/>
    <col min="14" max="14" width="13" bestFit="1" customWidth="1"/>
  </cols>
  <sheetData>
    <row r="1" spans="1:3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33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49"/>
    </row>
    <row r="3" spans="1:3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42" t="s">
        <v>64</v>
      </c>
      <c r="M3" s="50" t="s">
        <v>103</v>
      </c>
      <c r="N3" s="38" t="s">
        <v>65</v>
      </c>
    </row>
    <row r="4" spans="1:33">
      <c r="A4" s="3" t="s">
        <v>14</v>
      </c>
      <c r="B4" s="5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10" t="s">
        <v>21</v>
      </c>
      <c r="I4" s="7">
        <v>45744</v>
      </c>
      <c r="J4" s="18">
        <v>150527</v>
      </c>
      <c r="K4" s="18">
        <v>151454</v>
      </c>
      <c r="L4" s="7">
        <v>45734</v>
      </c>
      <c r="M4" s="7" t="s">
        <v>104</v>
      </c>
      <c r="N4" s="7">
        <v>45751</v>
      </c>
    </row>
    <row r="5" spans="1:33" s="47" customFormat="1">
      <c r="A5" s="25" t="s">
        <v>14</v>
      </c>
      <c r="B5" s="25" t="s">
        <v>22</v>
      </c>
      <c r="C5" s="25" t="s">
        <v>23</v>
      </c>
      <c r="D5" s="25" t="s">
        <v>24</v>
      </c>
      <c r="E5" s="25" t="s">
        <v>18</v>
      </c>
      <c r="F5" s="25" t="s">
        <v>25</v>
      </c>
      <c r="G5" s="25" t="s">
        <v>20</v>
      </c>
      <c r="H5" s="25" t="s">
        <v>66</v>
      </c>
      <c r="I5" s="15">
        <v>45744</v>
      </c>
      <c r="J5" s="16">
        <v>51496</v>
      </c>
      <c r="K5" s="16">
        <v>53085</v>
      </c>
      <c r="L5" s="15">
        <v>45714</v>
      </c>
      <c r="M5" s="15" t="s">
        <v>104</v>
      </c>
      <c r="N5" s="15">
        <v>45751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33">
      <c r="A6" s="6" t="s">
        <v>14</v>
      </c>
      <c r="B6" s="6" t="s">
        <v>27</v>
      </c>
      <c r="C6" s="6" t="s">
        <v>28</v>
      </c>
      <c r="D6" s="6" t="s">
        <v>17</v>
      </c>
      <c r="E6" s="6" t="s">
        <v>18</v>
      </c>
      <c r="F6" s="6" t="s">
        <v>29</v>
      </c>
      <c r="G6" s="6" t="s">
        <v>20</v>
      </c>
      <c r="H6" s="6" t="s">
        <v>30</v>
      </c>
      <c r="I6" s="7">
        <v>45744</v>
      </c>
      <c r="J6" s="13">
        <v>87335</v>
      </c>
      <c r="K6" s="13">
        <v>87794</v>
      </c>
      <c r="L6" s="7">
        <v>45740</v>
      </c>
      <c r="M6" s="7" t="s">
        <v>105</v>
      </c>
      <c r="N6" s="7">
        <v>45749</v>
      </c>
    </row>
    <row r="7" spans="1:33" s="47" customFormat="1">
      <c r="A7" s="25" t="s">
        <v>14</v>
      </c>
      <c r="B7" s="14" t="s">
        <v>31</v>
      </c>
      <c r="C7" s="25" t="s">
        <v>32</v>
      </c>
      <c r="D7" s="25" t="s">
        <v>24</v>
      </c>
      <c r="E7" s="25" t="s">
        <v>18</v>
      </c>
      <c r="F7" s="25" t="s">
        <v>33</v>
      </c>
      <c r="G7" s="25" t="s">
        <v>20</v>
      </c>
      <c r="H7" s="25" t="s">
        <v>66</v>
      </c>
      <c r="I7" s="15">
        <v>45744</v>
      </c>
      <c r="J7" s="16">
        <v>27852</v>
      </c>
      <c r="K7" s="16">
        <v>28583</v>
      </c>
      <c r="L7" s="15"/>
      <c r="M7" s="15"/>
      <c r="N7" s="15">
        <v>45751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>
      <c r="A8" s="6" t="s">
        <v>14</v>
      </c>
      <c r="B8" s="11" t="s">
        <v>31</v>
      </c>
      <c r="C8" s="6" t="s">
        <v>41</v>
      </c>
      <c r="D8" s="6" t="s">
        <v>24</v>
      </c>
      <c r="E8" s="6" t="s">
        <v>18</v>
      </c>
      <c r="F8" s="6" t="s">
        <v>42</v>
      </c>
      <c r="G8" s="6" t="s">
        <v>20</v>
      </c>
      <c r="H8" s="41" t="s">
        <v>91</v>
      </c>
      <c r="I8" s="7">
        <v>45744</v>
      </c>
      <c r="J8" s="13">
        <v>41204</v>
      </c>
      <c r="K8" s="13">
        <v>42080</v>
      </c>
      <c r="L8" s="7">
        <v>45742</v>
      </c>
      <c r="M8" s="7" t="s">
        <v>106</v>
      </c>
      <c r="N8" s="7">
        <v>45749</v>
      </c>
    </row>
    <row r="9" spans="1:33" s="47" customFormat="1">
      <c r="A9" s="25" t="s">
        <v>14</v>
      </c>
      <c r="B9" s="14" t="s">
        <v>31</v>
      </c>
      <c r="C9" s="25" t="s">
        <v>44</v>
      </c>
      <c r="D9" s="25" t="s">
        <v>24</v>
      </c>
      <c r="E9" s="25" t="s">
        <v>18</v>
      </c>
      <c r="F9" s="25" t="s">
        <v>45</v>
      </c>
      <c r="G9" s="25" t="s">
        <v>20</v>
      </c>
      <c r="H9" s="48"/>
      <c r="I9" s="15">
        <v>45744</v>
      </c>
      <c r="J9" s="16">
        <v>77531</v>
      </c>
      <c r="K9" s="16">
        <v>78305</v>
      </c>
      <c r="L9" s="15">
        <v>45723</v>
      </c>
      <c r="M9" s="15" t="s">
        <v>107</v>
      </c>
      <c r="N9" s="15">
        <v>45751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>
      <c r="A10" s="6" t="s">
        <v>14</v>
      </c>
      <c r="B10" s="11" t="s">
        <v>31</v>
      </c>
      <c r="C10" s="6" t="s">
        <v>47</v>
      </c>
      <c r="D10" s="6" t="s">
        <v>24</v>
      </c>
      <c r="E10" s="6" t="s">
        <v>18</v>
      </c>
      <c r="F10" s="6" t="s">
        <v>48</v>
      </c>
      <c r="G10" s="6" t="s">
        <v>20</v>
      </c>
      <c r="H10" s="6" t="s">
        <v>69</v>
      </c>
      <c r="I10" s="7">
        <v>45744</v>
      </c>
      <c r="J10" s="13">
        <v>57024</v>
      </c>
      <c r="K10" s="13">
        <v>57842</v>
      </c>
      <c r="L10" s="7">
        <v>45723</v>
      </c>
      <c r="M10" s="7" t="s">
        <v>108</v>
      </c>
      <c r="N10" s="7">
        <v>45747</v>
      </c>
    </row>
    <row r="11" spans="1:33" s="47" customFormat="1">
      <c r="A11" s="25" t="s">
        <v>14</v>
      </c>
      <c r="B11" s="14" t="s">
        <v>92</v>
      </c>
      <c r="C11" s="25" t="s">
        <v>49</v>
      </c>
      <c r="D11" s="25" t="s">
        <v>24</v>
      </c>
      <c r="E11" s="25" t="s">
        <v>18</v>
      </c>
      <c r="F11" s="25" t="s">
        <v>93</v>
      </c>
      <c r="G11" s="25" t="s">
        <v>20</v>
      </c>
      <c r="H11" s="25" t="s">
        <v>94</v>
      </c>
      <c r="I11" s="15">
        <v>45744</v>
      </c>
      <c r="J11" s="16">
        <v>985</v>
      </c>
      <c r="K11" s="16">
        <v>1364</v>
      </c>
      <c r="L11" s="15"/>
      <c r="M11" s="15" t="s">
        <v>109</v>
      </c>
      <c r="N11" s="15">
        <v>45751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>
      <c r="A12" s="6" t="s">
        <v>96</v>
      </c>
      <c r="B12" s="11" t="s">
        <v>97</v>
      </c>
      <c r="C12" s="6" t="s">
        <v>98</v>
      </c>
      <c r="D12" s="6" t="s">
        <v>99</v>
      </c>
      <c r="E12" s="6" t="s">
        <v>18</v>
      </c>
      <c r="F12" s="6" t="s">
        <v>100</v>
      </c>
      <c r="G12" s="6" t="s">
        <v>20</v>
      </c>
      <c r="H12" s="6" t="s">
        <v>101</v>
      </c>
      <c r="I12" s="7">
        <v>45744</v>
      </c>
      <c r="J12" s="13"/>
      <c r="K12" s="13"/>
      <c r="L12" s="7"/>
      <c r="M12" s="7"/>
      <c r="N12" s="7"/>
    </row>
    <row r="13" spans="1:33">
      <c r="A13" s="5" t="s">
        <v>14</v>
      </c>
      <c r="B13" s="6" t="s">
        <v>22</v>
      </c>
      <c r="C13" s="5" t="s">
        <v>52</v>
      </c>
      <c r="D13" s="5" t="s">
        <v>24</v>
      </c>
      <c r="E13" s="5" t="s">
        <v>18</v>
      </c>
      <c r="F13" s="5" t="s">
        <v>53</v>
      </c>
      <c r="G13" s="5" t="s">
        <v>20</v>
      </c>
      <c r="H13" s="5" t="s">
        <v>71</v>
      </c>
      <c r="I13" s="7">
        <v>45744</v>
      </c>
      <c r="J13" s="13">
        <v>39685</v>
      </c>
      <c r="K13" s="13" t="s">
        <v>84</v>
      </c>
      <c r="L13" s="7">
        <v>45727</v>
      </c>
      <c r="M13" s="7" t="s">
        <v>107</v>
      </c>
      <c r="N13" s="7">
        <v>45751</v>
      </c>
    </row>
    <row r="14" spans="1:33">
      <c r="A14" s="292" t="s">
        <v>55</v>
      </c>
      <c r="B14" s="293"/>
      <c r="C14" s="293"/>
      <c r="D14" s="293"/>
      <c r="E14" s="293"/>
      <c r="F14" s="293"/>
      <c r="G14" s="293"/>
      <c r="H14" s="293"/>
      <c r="I14" s="293"/>
      <c r="J14" s="293"/>
      <c r="K14" s="293"/>
      <c r="L14" s="293"/>
      <c r="M14" s="293"/>
      <c r="N14" s="293"/>
    </row>
    <row r="15" spans="1:33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56</v>
      </c>
      <c r="J15" s="1"/>
      <c r="K15" s="1" t="s">
        <v>57</v>
      </c>
      <c r="L15" s="1"/>
      <c r="M15" s="1"/>
      <c r="N15" s="38" t="s">
        <v>65</v>
      </c>
    </row>
    <row r="17" spans="5:9">
      <c r="E17" s="302" t="s">
        <v>110</v>
      </c>
      <c r="F17" s="303"/>
      <c r="G17" s="303"/>
      <c r="H17" s="303"/>
      <c r="I17" s="303"/>
    </row>
    <row r="18" spans="5:9">
      <c r="E18" s="295" t="s">
        <v>72</v>
      </c>
      <c r="F18" s="295"/>
      <c r="G18" s="295"/>
      <c r="H18" s="295"/>
      <c r="I18" s="295"/>
    </row>
    <row r="19" spans="5:9">
      <c r="E19" s="299" t="s">
        <v>111</v>
      </c>
      <c r="F19" s="295"/>
      <c r="G19" s="295"/>
      <c r="H19" s="295"/>
      <c r="I19" s="295"/>
    </row>
    <row r="20" spans="5:9">
      <c r="E20" s="299" t="s">
        <v>112</v>
      </c>
      <c r="F20" s="295"/>
      <c r="G20" s="295"/>
      <c r="H20" s="295"/>
      <c r="I20" s="295"/>
    </row>
    <row r="21" spans="5:9" ht="48.9" customHeight="1">
      <c r="E21" s="300" t="s">
        <v>113</v>
      </c>
      <c r="F21" s="301"/>
      <c r="G21" s="301"/>
      <c r="H21" s="301"/>
      <c r="I21" s="301"/>
    </row>
  </sheetData>
  <mergeCells count="6">
    <mergeCell ref="A14:N14"/>
    <mergeCell ref="E18:I18"/>
    <mergeCell ref="E19:I19"/>
    <mergeCell ref="E20:I20"/>
    <mergeCell ref="E21:I21"/>
    <mergeCell ref="E17:I17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L15" sqref="L15"/>
    </sheetView>
  </sheetViews>
  <sheetFormatPr defaultRowHeight="14.3"/>
  <cols>
    <col min="1" max="1" width="19.375" bestFit="1" customWidth="1"/>
    <col min="2" max="2" width="15.625" bestFit="1" customWidth="1"/>
    <col min="6" max="6" width="13.875" bestFit="1" customWidth="1"/>
    <col min="8" max="8" width="18.5" bestFit="1" customWidth="1"/>
    <col min="9" max="9" width="10.5" bestFit="1" customWidth="1"/>
    <col min="10" max="10" width="12.5" bestFit="1" customWidth="1"/>
    <col min="11" max="11" width="11.375" bestFit="1" customWidth="1"/>
    <col min="12" max="12" width="13.875" bestFit="1" customWidth="1"/>
    <col min="13" max="13" width="21.625" bestFit="1" customWidth="1"/>
    <col min="14" max="14" width="13" bestFit="1" customWidth="1"/>
  </cols>
  <sheetData>
    <row r="1" spans="1:14">
      <c r="A1" s="36" t="s">
        <v>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49"/>
    </row>
    <row r="2" spans="1:1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56</v>
      </c>
      <c r="J2" s="1" t="s">
        <v>11</v>
      </c>
      <c r="K2" s="1" t="s">
        <v>12</v>
      </c>
      <c r="L2" s="42" t="s">
        <v>64</v>
      </c>
      <c r="M2" s="50" t="s">
        <v>103</v>
      </c>
      <c r="N2" s="38" t="s">
        <v>65</v>
      </c>
    </row>
    <row r="3" spans="1:14">
      <c r="A3" s="3" t="s">
        <v>14</v>
      </c>
      <c r="B3" s="5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10" t="s">
        <v>21</v>
      </c>
      <c r="I3" s="7">
        <v>45751</v>
      </c>
      <c r="J3" s="18">
        <v>151454</v>
      </c>
      <c r="K3" s="18">
        <v>151454</v>
      </c>
      <c r="L3" s="7">
        <v>45748</v>
      </c>
      <c r="M3" s="7" t="s">
        <v>114</v>
      </c>
      <c r="N3" s="7">
        <v>45755</v>
      </c>
    </row>
    <row r="4" spans="1:14">
      <c r="A4" s="3" t="s">
        <v>14</v>
      </c>
      <c r="B4" s="25" t="s">
        <v>22</v>
      </c>
      <c r="C4" s="14" t="s">
        <v>23</v>
      </c>
      <c r="D4" s="14" t="s">
        <v>24</v>
      </c>
      <c r="E4" s="14" t="s">
        <v>18</v>
      </c>
      <c r="F4" s="14" t="s">
        <v>25</v>
      </c>
      <c r="G4" s="14" t="s">
        <v>20</v>
      </c>
      <c r="H4" s="51" t="s">
        <v>66</v>
      </c>
      <c r="I4" s="15">
        <v>45751</v>
      </c>
      <c r="J4" s="16">
        <v>53085</v>
      </c>
      <c r="K4" s="16">
        <v>53873</v>
      </c>
      <c r="L4" s="15">
        <v>45714</v>
      </c>
      <c r="M4" s="15" t="s">
        <v>115</v>
      </c>
      <c r="N4" s="15">
        <v>45754</v>
      </c>
    </row>
    <row r="5" spans="1:14">
      <c r="A5" s="3" t="s">
        <v>14</v>
      </c>
      <c r="B5" s="25" t="s">
        <v>27</v>
      </c>
      <c r="C5" s="14" t="s">
        <v>28</v>
      </c>
      <c r="D5" s="14" t="s">
        <v>17</v>
      </c>
      <c r="E5" s="14" t="s">
        <v>18</v>
      </c>
      <c r="F5" s="14" t="s">
        <v>29</v>
      </c>
      <c r="G5" s="14" t="s">
        <v>20</v>
      </c>
      <c r="H5" s="51" t="s">
        <v>30</v>
      </c>
      <c r="I5" s="15">
        <v>45751</v>
      </c>
      <c r="J5" s="16">
        <v>87794</v>
      </c>
      <c r="K5" s="16">
        <v>88730</v>
      </c>
      <c r="L5" s="15">
        <v>45740</v>
      </c>
      <c r="M5" s="15" t="s">
        <v>116</v>
      </c>
      <c r="N5" s="15">
        <v>45754</v>
      </c>
    </row>
    <row r="6" spans="1:14">
      <c r="A6" s="3" t="s">
        <v>14</v>
      </c>
      <c r="B6" s="6" t="s">
        <v>31</v>
      </c>
      <c r="C6" s="11" t="s">
        <v>32</v>
      </c>
      <c r="D6" s="11" t="s">
        <v>24</v>
      </c>
      <c r="E6" s="11" t="s">
        <v>18</v>
      </c>
      <c r="F6" s="11" t="s">
        <v>33</v>
      </c>
      <c r="G6" s="11" t="s">
        <v>20</v>
      </c>
      <c r="H6" s="12" t="s">
        <v>66</v>
      </c>
      <c r="I6" s="7">
        <v>45751</v>
      </c>
      <c r="J6" s="13">
        <v>28583</v>
      </c>
      <c r="K6" s="13">
        <v>28969</v>
      </c>
      <c r="L6" s="7">
        <v>45748</v>
      </c>
      <c r="M6" s="7" t="s">
        <v>114</v>
      </c>
      <c r="N6" s="7">
        <v>45755</v>
      </c>
    </row>
    <row r="7" spans="1:14">
      <c r="A7" s="3" t="s">
        <v>14</v>
      </c>
      <c r="B7" s="5" t="s">
        <v>31</v>
      </c>
      <c r="C7" s="3" t="s">
        <v>41</v>
      </c>
      <c r="D7" s="3" t="s">
        <v>24</v>
      </c>
      <c r="E7" s="3" t="s">
        <v>18</v>
      </c>
      <c r="F7" s="3" t="s">
        <v>42</v>
      </c>
      <c r="G7" s="3" t="s">
        <v>20</v>
      </c>
      <c r="H7" s="10" t="s">
        <v>91</v>
      </c>
      <c r="I7" s="7">
        <v>45751</v>
      </c>
      <c r="J7" s="18">
        <v>42080</v>
      </c>
      <c r="K7" s="18">
        <v>42719</v>
      </c>
      <c r="L7" s="7">
        <v>45750</v>
      </c>
      <c r="M7" s="7" t="s">
        <v>117</v>
      </c>
      <c r="N7" s="7">
        <v>45756</v>
      </c>
    </row>
    <row r="8" spans="1:14">
      <c r="A8" s="3" t="s">
        <v>14</v>
      </c>
      <c r="B8" s="5" t="s">
        <v>31</v>
      </c>
      <c r="C8" s="3" t="s">
        <v>44</v>
      </c>
      <c r="D8" s="3" t="s">
        <v>24</v>
      </c>
      <c r="E8" s="3" t="s">
        <v>18</v>
      </c>
      <c r="F8" s="3" t="s">
        <v>45</v>
      </c>
      <c r="G8" s="3" t="s">
        <v>20</v>
      </c>
      <c r="H8" s="10"/>
      <c r="I8" s="7">
        <v>45751</v>
      </c>
      <c r="J8" s="18">
        <v>78305</v>
      </c>
      <c r="K8" s="18">
        <v>78509</v>
      </c>
      <c r="L8" s="7">
        <v>45750</v>
      </c>
      <c r="M8" s="7" t="s">
        <v>118</v>
      </c>
      <c r="N8" s="7">
        <v>45756</v>
      </c>
    </row>
    <row r="9" spans="1:14">
      <c r="A9" s="3" t="s">
        <v>14</v>
      </c>
      <c r="B9" s="25" t="s">
        <v>31</v>
      </c>
      <c r="C9" s="14" t="s">
        <v>47</v>
      </c>
      <c r="D9" s="14" t="s">
        <v>24</v>
      </c>
      <c r="E9" s="14" t="s">
        <v>18</v>
      </c>
      <c r="F9" s="14" t="s">
        <v>48</v>
      </c>
      <c r="G9" s="14" t="s">
        <v>20</v>
      </c>
      <c r="H9" s="51" t="s">
        <v>69</v>
      </c>
      <c r="I9" s="15">
        <v>45751</v>
      </c>
      <c r="J9" s="16">
        <v>57842</v>
      </c>
      <c r="K9" s="16">
        <v>58225</v>
      </c>
      <c r="L9" s="15">
        <v>45723</v>
      </c>
      <c r="M9" s="15" t="s">
        <v>119</v>
      </c>
      <c r="N9" s="15">
        <v>45754</v>
      </c>
    </row>
    <row r="10" spans="1:14">
      <c r="A10" s="3" t="s">
        <v>14</v>
      </c>
      <c r="B10" s="5" t="s">
        <v>92</v>
      </c>
      <c r="C10" s="3" t="s">
        <v>49</v>
      </c>
      <c r="D10" s="3" t="s">
        <v>24</v>
      </c>
      <c r="E10" s="3" t="s">
        <v>18</v>
      </c>
      <c r="F10" s="3" t="s">
        <v>93</v>
      </c>
      <c r="G10" s="3" t="s">
        <v>20</v>
      </c>
      <c r="H10" s="10" t="s">
        <v>94</v>
      </c>
      <c r="I10" s="7">
        <v>45751</v>
      </c>
      <c r="J10" s="18">
        <v>1364</v>
      </c>
      <c r="K10" s="18">
        <v>1916</v>
      </c>
      <c r="L10" s="7"/>
      <c r="M10" s="15" t="s">
        <v>120</v>
      </c>
      <c r="N10" s="7">
        <v>45751</v>
      </c>
    </row>
    <row r="11" spans="1:14">
      <c r="A11" s="3" t="s">
        <v>96</v>
      </c>
      <c r="B11" s="5" t="s">
        <v>97</v>
      </c>
      <c r="C11" s="3" t="s">
        <v>98</v>
      </c>
      <c r="D11" s="3" t="s">
        <v>99</v>
      </c>
      <c r="E11" s="3" t="s">
        <v>18</v>
      </c>
      <c r="F11" s="3" t="s">
        <v>100</v>
      </c>
      <c r="G11" s="3" t="s">
        <v>20</v>
      </c>
      <c r="H11" s="10" t="s">
        <v>101</v>
      </c>
      <c r="I11" s="7">
        <v>45751</v>
      </c>
      <c r="J11" s="18"/>
      <c r="K11" s="18"/>
      <c r="L11" s="7"/>
      <c r="M11" s="7"/>
      <c r="N11" s="7"/>
    </row>
    <row r="12" spans="1:14">
      <c r="A12" s="3" t="s">
        <v>14</v>
      </c>
      <c r="B12" s="5" t="s">
        <v>22</v>
      </c>
      <c r="C12" s="3" t="s">
        <v>52</v>
      </c>
      <c r="D12" s="3" t="s">
        <v>24</v>
      </c>
      <c r="E12" s="3" t="s">
        <v>18</v>
      </c>
      <c r="F12" s="3" t="s">
        <v>53</v>
      </c>
      <c r="G12" s="3" t="s">
        <v>20</v>
      </c>
      <c r="H12" s="10" t="s">
        <v>71</v>
      </c>
      <c r="I12" s="7">
        <v>45751</v>
      </c>
      <c r="J12" s="18" t="s">
        <v>84</v>
      </c>
      <c r="K12" s="18">
        <v>40553</v>
      </c>
      <c r="L12" s="7">
        <v>45744</v>
      </c>
      <c r="M12" s="7" t="s">
        <v>121</v>
      </c>
      <c r="N12" s="7">
        <v>45756</v>
      </c>
    </row>
    <row r="13" spans="1:14">
      <c r="A13" s="292" t="s">
        <v>55</v>
      </c>
      <c r="B13" s="293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</row>
    <row r="14" spans="1:14">
      <c r="A14" s="1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56</v>
      </c>
      <c r="J14" s="1"/>
      <c r="K14" s="1" t="s">
        <v>57</v>
      </c>
      <c r="L14" s="1"/>
      <c r="M14" s="1"/>
      <c r="N14" s="38" t="s">
        <v>65</v>
      </c>
    </row>
    <row r="17" spans="6:10" ht="47.25" customHeight="1">
      <c r="F17" s="304" t="s">
        <v>122</v>
      </c>
      <c r="G17" s="305"/>
      <c r="H17" s="305"/>
      <c r="I17" s="305"/>
      <c r="J17" s="306"/>
    </row>
    <row r="18" spans="6:10">
      <c r="F18" s="307" t="s">
        <v>123</v>
      </c>
      <c r="G18" s="308"/>
      <c r="H18" s="308"/>
      <c r="I18" s="308"/>
      <c r="J18" s="309"/>
    </row>
    <row r="19" spans="6:10">
      <c r="F19" s="310" t="s">
        <v>124</v>
      </c>
      <c r="G19" s="310"/>
      <c r="H19" s="310"/>
      <c r="I19" s="310"/>
      <c r="J19" s="310"/>
    </row>
  </sheetData>
  <mergeCells count="4">
    <mergeCell ref="A13:N13"/>
    <mergeCell ref="F17:J17"/>
    <mergeCell ref="F18:J18"/>
    <mergeCell ref="F19:J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H17" sqref="H17:L17"/>
    </sheetView>
  </sheetViews>
  <sheetFormatPr defaultRowHeight="14.3"/>
  <cols>
    <col min="1" max="1" width="20" bestFit="1" customWidth="1"/>
    <col min="2" max="2" width="16.5" bestFit="1" customWidth="1"/>
    <col min="8" max="8" width="19.5" bestFit="1" customWidth="1"/>
    <col min="9" max="9" width="11.5" bestFit="1" customWidth="1"/>
    <col min="10" max="10" width="13.5" bestFit="1" customWidth="1"/>
    <col min="11" max="11" width="11.625" bestFit="1" customWidth="1"/>
    <col min="12" max="12" width="14.875" style="67" bestFit="1" customWidth="1"/>
    <col min="13" max="13" width="22.5" bestFit="1" customWidth="1"/>
    <col min="14" max="14" width="13.875" bestFit="1" customWidth="1"/>
  </cols>
  <sheetData>
    <row r="1" spans="1:14">
      <c r="A1" s="36" t="s">
        <v>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62"/>
      <c r="M1" s="49"/>
    </row>
    <row r="2" spans="1:1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125</v>
      </c>
      <c r="J2" s="1" t="s">
        <v>11</v>
      </c>
      <c r="K2" s="1" t="s">
        <v>12</v>
      </c>
      <c r="L2" s="42" t="s">
        <v>64</v>
      </c>
      <c r="M2" s="50" t="s">
        <v>103</v>
      </c>
      <c r="N2" s="38" t="s">
        <v>65</v>
      </c>
    </row>
    <row r="3" spans="1:14">
      <c r="A3" s="3" t="s">
        <v>14</v>
      </c>
      <c r="B3" s="5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10" t="s">
        <v>21</v>
      </c>
      <c r="I3" s="7">
        <v>45764</v>
      </c>
      <c r="J3" s="18">
        <v>151454</v>
      </c>
      <c r="K3" s="18">
        <v>153511</v>
      </c>
      <c r="L3" s="63">
        <v>45757</v>
      </c>
      <c r="M3" s="60" t="s">
        <v>120</v>
      </c>
      <c r="N3" s="56">
        <v>45769</v>
      </c>
    </row>
    <row r="4" spans="1:14">
      <c r="A4" s="52" t="s">
        <v>14</v>
      </c>
      <c r="B4" s="55" t="s">
        <v>126</v>
      </c>
      <c r="C4" s="52" t="s">
        <v>23</v>
      </c>
      <c r="D4" s="52" t="s">
        <v>24</v>
      </c>
      <c r="E4" s="52" t="s">
        <v>18</v>
      </c>
      <c r="F4" s="52" t="s">
        <v>127</v>
      </c>
      <c r="G4" s="52" t="s">
        <v>20</v>
      </c>
      <c r="H4" s="53" t="s">
        <v>66</v>
      </c>
      <c r="I4" s="7">
        <v>45764</v>
      </c>
      <c r="J4" s="54"/>
      <c r="K4" s="54"/>
      <c r="L4" s="64" t="s">
        <v>128</v>
      </c>
      <c r="M4" s="57" t="s">
        <v>120</v>
      </c>
      <c r="N4" s="57" t="s">
        <v>128</v>
      </c>
    </row>
    <row r="5" spans="1:14">
      <c r="A5" s="11" t="s">
        <v>14</v>
      </c>
      <c r="B5" s="6" t="s">
        <v>27</v>
      </c>
      <c r="C5" s="11" t="s">
        <v>28</v>
      </c>
      <c r="D5" s="11" t="s">
        <v>17</v>
      </c>
      <c r="E5" s="11" t="s">
        <v>18</v>
      </c>
      <c r="F5" s="11" t="s">
        <v>29</v>
      </c>
      <c r="G5" s="11" t="s">
        <v>20</v>
      </c>
      <c r="H5" s="12" t="s">
        <v>30</v>
      </c>
      <c r="I5" s="7">
        <v>45764</v>
      </c>
      <c r="J5" s="13">
        <v>88730</v>
      </c>
      <c r="K5" s="13" t="s">
        <v>84</v>
      </c>
      <c r="L5" s="63">
        <v>45740</v>
      </c>
      <c r="M5" s="61" t="s">
        <v>120</v>
      </c>
      <c r="N5" s="59">
        <v>45769</v>
      </c>
    </row>
    <row r="6" spans="1:14">
      <c r="A6" s="3" t="s">
        <v>14</v>
      </c>
      <c r="B6" s="6" t="s">
        <v>31</v>
      </c>
      <c r="C6" s="11" t="s">
        <v>32</v>
      </c>
      <c r="D6" s="11" t="s">
        <v>24</v>
      </c>
      <c r="E6" s="11" t="s">
        <v>18</v>
      </c>
      <c r="F6" s="11" t="s">
        <v>33</v>
      </c>
      <c r="G6" s="11" t="s">
        <v>20</v>
      </c>
      <c r="H6" s="12" t="s">
        <v>66</v>
      </c>
      <c r="I6" s="7">
        <v>45764</v>
      </c>
      <c r="J6" s="13">
        <v>29608</v>
      </c>
      <c r="K6" s="13">
        <v>32614</v>
      </c>
      <c r="L6" s="65">
        <v>45748</v>
      </c>
      <c r="M6" s="61" t="s">
        <v>120</v>
      </c>
      <c r="N6" s="59">
        <v>45769</v>
      </c>
    </row>
    <row r="7" spans="1:14">
      <c r="A7" s="3" t="s">
        <v>14</v>
      </c>
      <c r="B7" s="5" t="s">
        <v>31</v>
      </c>
      <c r="C7" s="3" t="s">
        <v>41</v>
      </c>
      <c r="D7" s="3" t="s">
        <v>24</v>
      </c>
      <c r="E7" s="3" t="s">
        <v>18</v>
      </c>
      <c r="F7" s="3" t="s">
        <v>42</v>
      </c>
      <c r="G7" s="3" t="s">
        <v>20</v>
      </c>
      <c r="H7" s="10" t="s">
        <v>91</v>
      </c>
      <c r="I7" s="7">
        <v>45764</v>
      </c>
      <c r="J7" s="18">
        <v>43560</v>
      </c>
      <c r="K7" s="18">
        <v>44599</v>
      </c>
      <c r="L7" s="65">
        <v>45750</v>
      </c>
      <c r="M7" s="61" t="s">
        <v>120</v>
      </c>
      <c r="N7" s="59">
        <v>45769</v>
      </c>
    </row>
    <row r="8" spans="1:14">
      <c r="A8" s="3" t="s">
        <v>14</v>
      </c>
      <c r="B8" s="5" t="s">
        <v>31</v>
      </c>
      <c r="C8" s="3" t="s">
        <v>44</v>
      </c>
      <c r="D8" s="3" t="s">
        <v>24</v>
      </c>
      <c r="E8" s="3" t="s">
        <v>18</v>
      </c>
      <c r="F8" s="3" t="s">
        <v>45</v>
      </c>
      <c r="G8" s="3" t="s">
        <v>20</v>
      </c>
      <c r="H8" s="10" t="s">
        <v>129</v>
      </c>
      <c r="I8" s="7">
        <v>45764</v>
      </c>
      <c r="J8" s="18">
        <v>78937</v>
      </c>
      <c r="K8" s="18"/>
      <c r="L8" s="65">
        <v>45762</v>
      </c>
      <c r="M8" s="58" t="s">
        <v>130</v>
      </c>
      <c r="N8" s="59">
        <v>45771</v>
      </c>
    </row>
    <row r="9" spans="1:14">
      <c r="A9" s="3" t="s">
        <v>14</v>
      </c>
      <c r="B9" s="5" t="s">
        <v>31</v>
      </c>
      <c r="C9" s="3" t="s">
        <v>47</v>
      </c>
      <c r="D9" s="3" t="s">
        <v>24</v>
      </c>
      <c r="E9" s="3" t="s">
        <v>18</v>
      </c>
      <c r="F9" s="3" t="s">
        <v>48</v>
      </c>
      <c r="G9" s="3" t="s">
        <v>20</v>
      </c>
      <c r="H9" s="10" t="s">
        <v>69</v>
      </c>
      <c r="I9" s="7">
        <v>45764</v>
      </c>
      <c r="J9" s="18">
        <v>58656</v>
      </c>
      <c r="K9" s="18">
        <v>59416</v>
      </c>
      <c r="L9" s="66" t="s">
        <v>128</v>
      </c>
      <c r="M9" s="61" t="s">
        <v>120</v>
      </c>
      <c r="N9" s="59">
        <v>45771</v>
      </c>
    </row>
    <row r="10" spans="1:14">
      <c r="A10" s="3" t="s">
        <v>14</v>
      </c>
      <c r="B10" s="5" t="s">
        <v>92</v>
      </c>
      <c r="C10" s="3" t="s">
        <v>49</v>
      </c>
      <c r="D10" s="3" t="s">
        <v>24</v>
      </c>
      <c r="E10" s="3" t="s">
        <v>18</v>
      </c>
      <c r="F10" s="3" t="s">
        <v>93</v>
      </c>
      <c r="G10" s="3" t="s">
        <v>20</v>
      </c>
      <c r="H10" s="10" t="s">
        <v>94</v>
      </c>
      <c r="I10" s="7">
        <v>45764</v>
      </c>
      <c r="J10" s="18">
        <v>2632</v>
      </c>
      <c r="K10" s="18">
        <v>3209</v>
      </c>
      <c r="L10" s="66" t="s">
        <v>128</v>
      </c>
      <c r="M10" s="61" t="s">
        <v>120</v>
      </c>
      <c r="N10" s="59">
        <v>45771</v>
      </c>
    </row>
    <row r="11" spans="1:14">
      <c r="A11" s="3" t="s">
        <v>96</v>
      </c>
      <c r="B11" s="5" t="s">
        <v>97</v>
      </c>
      <c r="C11" s="3" t="s">
        <v>98</v>
      </c>
      <c r="D11" s="3" t="s">
        <v>99</v>
      </c>
      <c r="E11" s="3" t="s">
        <v>18</v>
      </c>
      <c r="F11" s="3" t="s">
        <v>100</v>
      </c>
      <c r="G11" s="3" t="s">
        <v>20</v>
      </c>
      <c r="H11" s="10" t="s">
        <v>101</v>
      </c>
      <c r="I11" s="7">
        <v>45764</v>
      </c>
      <c r="J11" s="18"/>
      <c r="K11" s="18"/>
      <c r="L11" s="65">
        <v>45764</v>
      </c>
      <c r="M11" s="58" t="s">
        <v>131</v>
      </c>
      <c r="N11" s="59">
        <v>45772</v>
      </c>
    </row>
    <row r="12" spans="1:14">
      <c r="A12" s="3" t="s">
        <v>14</v>
      </c>
      <c r="B12" s="5" t="s">
        <v>22</v>
      </c>
      <c r="C12" s="3" t="s">
        <v>52</v>
      </c>
      <c r="D12" s="3" t="s">
        <v>24</v>
      </c>
      <c r="E12" s="3" t="s">
        <v>18</v>
      </c>
      <c r="F12" s="3" t="s">
        <v>53</v>
      </c>
      <c r="G12" s="3" t="s">
        <v>20</v>
      </c>
      <c r="H12" s="10" t="s">
        <v>132</v>
      </c>
      <c r="I12" s="7">
        <v>45764</v>
      </c>
      <c r="J12" s="18">
        <v>40956</v>
      </c>
      <c r="K12" s="18">
        <v>41329</v>
      </c>
      <c r="L12" s="65">
        <v>45764</v>
      </c>
      <c r="M12" s="58" t="s">
        <v>131</v>
      </c>
      <c r="N12" s="59">
        <v>45772</v>
      </c>
    </row>
    <row r="13" spans="1:14">
      <c r="A13" s="292" t="s">
        <v>55</v>
      </c>
      <c r="B13" s="293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</row>
    <row r="14" spans="1:14">
      <c r="A14" s="1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56</v>
      </c>
      <c r="J14" s="1"/>
      <c r="K14" s="1" t="s">
        <v>57</v>
      </c>
      <c r="L14" s="1"/>
      <c r="M14" s="1"/>
      <c r="N14" s="38" t="s">
        <v>65</v>
      </c>
    </row>
    <row r="17" spans="8:12">
      <c r="H17" s="307" t="s">
        <v>133</v>
      </c>
      <c r="I17" s="308"/>
      <c r="J17" s="308"/>
      <c r="K17" s="308"/>
      <c r="L17" s="309"/>
    </row>
  </sheetData>
  <mergeCells count="2">
    <mergeCell ref="A13:N13"/>
    <mergeCell ref="H17:L1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A23" sqref="A23"/>
    </sheetView>
  </sheetViews>
  <sheetFormatPr defaultRowHeight="14.3"/>
  <cols>
    <col min="1" max="1" width="20" bestFit="1" customWidth="1"/>
    <col min="2" max="2" width="16.5" bestFit="1" customWidth="1"/>
    <col min="8" max="8" width="19.5" bestFit="1" customWidth="1"/>
    <col min="9" max="9" width="11.5" bestFit="1" customWidth="1"/>
    <col min="10" max="10" width="13.5" bestFit="1" customWidth="1"/>
    <col min="11" max="11" width="11.625" bestFit="1" customWidth="1"/>
    <col min="12" max="12" width="17.625" customWidth="1"/>
    <col min="13" max="13" width="22.5" bestFit="1" customWidth="1"/>
    <col min="14" max="14" width="13.875" bestFit="1" customWidth="1"/>
  </cols>
  <sheetData>
    <row r="1" spans="1:14">
      <c r="A1" s="36" t="s">
        <v>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49"/>
    </row>
    <row r="2" spans="1:1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42" t="s">
        <v>64</v>
      </c>
      <c r="M2" s="50" t="s">
        <v>103</v>
      </c>
      <c r="N2" s="38" t="s">
        <v>65</v>
      </c>
    </row>
    <row r="3" spans="1:14">
      <c r="A3" s="3" t="s">
        <v>14</v>
      </c>
      <c r="B3" s="5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10" t="s">
        <v>21</v>
      </c>
      <c r="I3" s="7">
        <v>45758</v>
      </c>
      <c r="J3" s="18">
        <v>151454</v>
      </c>
      <c r="K3" s="18" t="s">
        <v>84</v>
      </c>
      <c r="L3" s="7">
        <v>45748</v>
      </c>
      <c r="M3" s="15" t="s">
        <v>120</v>
      </c>
      <c r="N3" s="7">
        <v>45761</v>
      </c>
    </row>
    <row r="4" spans="1:14">
      <c r="A4" s="14" t="s">
        <v>14</v>
      </c>
      <c r="B4" s="25" t="s">
        <v>22</v>
      </c>
      <c r="C4" s="14" t="s">
        <v>23</v>
      </c>
      <c r="D4" s="14" t="s">
        <v>24</v>
      </c>
      <c r="E4" s="14" t="s">
        <v>18</v>
      </c>
      <c r="F4" s="14"/>
      <c r="G4" s="14" t="s">
        <v>20</v>
      </c>
      <c r="H4" s="51" t="s">
        <v>66</v>
      </c>
      <c r="I4" s="15">
        <v>45758</v>
      </c>
      <c r="J4" s="16"/>
      <c r="K4" s="16"/>
      <c r="L4" s="15"/>
      <c r="M4" s="15" t="s">
        <v>120</v>
      </c>
      <c r="N4" s="15"/>
    </row>
    <row r="5" spans="1:14">
      <c r="A5" s="3" t="s">
        <v>14</v>
      </c>
      <c r="B5" s="6" t="s">
        <v>27</v>
      </c>
      <c r="C5" s="11" t="s">
        <v>28</v>
      </c>
      <c r="D5" s="11" t="s">
        <v>17</v>
      </c>
      <c r="E5" s="11" t="s">
        <v>18</v>
      </c>
      <c r="F5" s="11" t="s">
        <v>29</v>
      </c>
      <c r="G5" s="11" t="s">
        <v>20</v>
      </c>
      <c r="H5" s="12" t="s">
        <v>30</v>
      </c>
      <c r="I5" s="7">
        <v>45758</v>
      </c>
      <c r="J5" s="13">
        <v>88730</v>
      </c>
      <c r="K5" s="13"/>
      <c r="L5" s="7">
        <v>45740</v>
      </c>
      <c r="M5" s="15" t="s">
        <v>120</v>
      </c>
      <c r="N5" s="7">
        <v>45761</v>
      </c>
    </row>
    <row r="6" spans="1:14">
      <c r="A6" s="3" t="s">
        <v>14</v>
      </c>
      <c r="B6" s="6" t="s">
        <v>31</v>
      </c>
      <c r="C6" s="11" t="s">
        <v>32</v>
      </c>
      <c r="D6" s="11" t="s">
        <v>24</v>
      </c>
      <c r="E6" s="11" t="s">
        <v>18</v>
      </c>
      <c r="F6" s="11" t="s">
        <v>33</v>
      </c>
      <c r="G6" s="11" t="s">
        <v>20</v>
      </c>
      <c r="H6" s="12" t="s">
        <v>66</v>
      </c>
      <c r="I6" s="7">
        <v>45758</v>
      </c>
      <c r="J6" s="13">
        <v>28969</v>
      </c>
      <c r="K6" s="13">
        <v>29608</v>
      </c>
      <c r="L6" s="7">
        <v>45748</v>
      </c>
      <c r="M6" s="15" t="s">
        <v>120</v>
      </c>
      <c r="N6" s="7">
        <v>45762</v>
      </c>
    </row>
    <row r="7" spans="1:14">
      <c r="A7" s="3" t="s">
        <v>14</v>
      </c>
      <c r="B7" s="5" t="s">
        <v>31</v>
      </c>
      <c r="C7" s="3" t="s">
        <v>41</v>
      </c>
      <c r="D7" s="3" t="s">
        <v>24</v>
      </c>
      <c r="E7" s="3" t="s">
        <v>18</v>
      </c>
      <c r="F7" s="3" t="s">
        <v>42</v>
      </c>
      <c r="G7" s="3" t="s">
        <v>20</v>
      </c>
      <c r="H7" s="10" t="s">
        <v>91</v>
      </c>
      <c r="I7" s="7">
        <v>45758</v>
      </c>
      <c r="J7" s="18">
        <v>42719</v>
      </c>
      <c r="K7" s="18">
        <v>43560</v>
      </c>
      <c r="L7" s="7">
        <v>45750</v>
      </c>
      <c r="M7" s="15" t="s">
        <v>120</v>
      </c>
      <c r="N7" s="7">
        <v>45762</v>
      </c>
    </row>
    <row r="8" spans="1:14">
      <c r="A8" s="3" t="s">
        <v>14</v>
      </c>
      <c r="B8" s="5" t="s">
        <v>31</v>
      </c>
      <c r="C8" s="3" t="s">
        <v>44</v>
      </c>
      <c r="D8" s="3" t="s">
        <v>24</v>
      </c>
      <c r="E8" s="3" t="s">
        <v>18</v>
      </c>
      <c r="F8" s="3" t="s">
        <v>45</v>
      </c>
      <c r="G8" s="3" t="s">
        <v>20</v>
      </c>
      <c r="H8" s="10"/>
      <c r="I8" s="7">
        <v>45758</v>
      </c>
      <c r="J8" s="18">
        <v>78509</v>
      </c>
      <c r="K8" s="18"/>
      <c r="L8" s="7">
        <v>45750</v>
      </c>
      <c r="M8" s="15" t="s">
        <v>120</v>
      </c>
      <c r="N8" s="7">
        <v>45762</v>
      </c>
    </row>
    <row r="9" spans="1:14">
      <c r="A9" s="3" t="s">
        <v>14</v>
      </c>
      <c r="B9" s="5" t="s">
        <v>31</v>
      </c>
      <c r="C9" s="3" t="s">
        <v>47</v>
      </c>
      <c r="D9" s="3" t="s">
        <v>24</v>
      </c>
      <c r="E9" s="3" t="s">
        <v>18</v>
      </c>
      <c r="F9" s="3" t="s">
        <v>48</v>
      </c>
      <c r="G9" s="3" t="s">
        <v>20</v>
      </c>
      <c r="H9" s="10" t="s">
        <v>69</v>
      </c>
      <c r="I9" s="7">
        <v>45758</v>
      </c>
      <c r="J9" s="18">
        <v>58225</v>
      </c>
      <c r="K9" s="18">
        <v>58656</v>
      </c>
      <c r="L9" s="7">
        <v>45386</v>
      </c>
      <c r="M9" s="15" t="s">
        <v>120</v>
      </c>
      <c r="N9" s="7">
        <v>45763</v>
      </c>
    </row>
    <row r="10" spans="1:14">
      <c r="A10" s="3" t="s">
        <v>14</v>
      </c>
      <c r="B10" s="5" t="s">
        <v>92</v>
      </c>
      <c r="C10" s="3" t="s">
        <v>49</v>
      </c>
      <c r="D10" s="3" t="s">
        <v>24</v>
      </c>
      <c r="E10" s="3" t="s">
        <v>18</v>
      </c>
      <c r="F10" s="3" t="s">
        <v>93</v>
      </c>
      <c r="G10" s="3" t="s">
        <v>20</v>
      </c>
      <c r="H10" s="10" t="s">
        <v>94</v>
      </c>
      <c r="I10" s="7">
        <v>45758</v>
      </c>
      <c r="J10" s="18">
        <v>1916</v>
      </c>
      <c r="K10" s="18">
        <v>2632</v>
      </c>
      <c r="L10" s="7"/>
      <c r="M10" s="15" t="s">
        <v>120</v>
      </c>
      <c r="N10" s="7">
        <v>45763</v>
      </c>
    </row>
    <row r="11" spans="1:14">
      <c r="A11" s="3" t="s">
        <v>96</v>
      </c>
      <c r="B11" s="5" t="s">
        <v>97</v>
      </c>
      <c r="C11" s="3" t="s">
        <v>98</v>
      </c>
      <c r="D11" s="3" t="s">
        <v>99</v>
      </c>
      <c r="E11" s="3" t="s">
        <v>18</v>
      </c>
      <c r="F11" s="3" t="s">
        <v>100</v>
      </c>
      <c r="G11" s="3" t="s">
        <v>20</v>
      </c>
      <c r="H11" s="10" t="s">
        <v>101</v>
      </c>
      <c r="I11" s="7">
        <v>45758</v>
      </c>
      <c r="J11" s="18"/>
      <c r="K11" s="18"/>
      <c r="L11" s="7"/>
      <c r="M11" s="15" t="s">
        <v>120</v>
      </c>
      <c r="N11" s="7"/>
    </row>
    <row r="12" spans="1:14">
      <c r="A12" s="3" t="s">
        <v>14</v>
      </c>
      <c r="B12" s="5" t="s">
        <v>22</v>
      </c>
      <c r="C12" s="3" t="s">
        <v>52</v>
      </c>
      <c r="D12" s="3" t="s">
        <v>24</v>
      </c>
      <c r="E12" s="3" t="s">
        <v>18</v>
      </c>
      <c r="F12" s="3" t="s">
        <v>53</v>
      </c>
      <c r="G12" s="3" t="s">
        <v>20</v>
      </c>
      <c r="H12" s="10" t="s">
        <v>71</v>
      </c>
      <c r="I12" s="7">
        <v>45758</v>
      </c>
      <c r="J12" s="18">
        <v>40553</v>
      </c>
      <c r="K12" s="18">
        <v>40956</v>
      </c>
      <c r="L12" s="7">
        <v>45744</v>
      </c>
      <c r="M12" s="15" t="s">
        <v>120</v>
      </c>
      <c r="N12" s="7">
        <v>45763</v>
      </c>
    </row>
    <row r="13" spans="1:14">
      <c r="A13" s="292" t="s">
        <v>55</v>
      </c>
      <c r="B13" s="293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</row>
    <row r="14" spans="1:14">
      <c r="A14" s="1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56</v>
      </c>
      <c r="J14" s="1"/>
      <c r="K14" s="1" t="s">
        <v>57</v>
      </c>
      <c r="L14" s="1"/>
      <c r="M14" s="1"/>
      <c r="N14" s="38" t="s">
        <v>65</v>
      </c>
    </row>
    <row r="17" spans="8:12" ht="32.299999999999997" customHeight="1">
      <c r="H17" s="307" t="s">
        <v>124</v>
      </c>
      <c r="I17" s="308"/>
      <c r="J17" s="308"/>
      <c r="K17" s="308"/>
      <c r="L17" s="309"/>
    </row>
    <row r="18" spans="8:12">
      <c r="H18" s="307" t="s">
        <v>134</v>
      </c>
      <c r="I18" s="308"/>
      <c r="J18" s="308"/>
      <c r="K18" s="308"/>
      <c r="L18" s="309"/>
    </row>
    <row r="19" spans="8:12">
      <c r="H19" s="307" t="s">
        <v>135</v>
      </c>
      <c r="I19" s="308"/>
      <c r="J19" s="308"/>
      <c r="K19" s="308"/>
      <c r="L19" s="309"/>
    </row>
    <row r="20" spans="8:12">
      <c r="H20" s="307" t="s">
        <v>136</v>
      </c>
      <c r="I20" s="308"/>
      <c r="J20" s="308"/>
      <c r="K20" s="308"/>
      <c r="L20" s="309"/>
    </row>
  </sheetData>
  <mergeCells count="5">
    <mergeCell ref="A13:N13"/>
    <mergeCell ref="H18:L18"/>
    <mergeCell ref="H19:L19"/>
    <mergeCell ref="H20:L20"/>
    <mergeCell ref="H17:L1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zoomScale="84" zoomScaleNormal="84" workbookViewId="0">
      <selection activeCell="L31" sqref="L31"/>
    </sheetView>
  </sheetViews>
  <sheetFormatPr defaultRowHeight="14.3"/>
  <cols>
    <col min="1" max="1" width="20" bestFit="1" customWidth="1"/>
    <col min="2" max="2" width="16.5" bestFit="1" customWidth="1"/>
    <col min="8" max="8" width="19.5" bestFit="1" customWidth="1"/>
    <col min="9" max="9" width="11.5" bestFit="1" customWidth="1"/>
    <col min="10" max="10" width="13.5" bestFit="1" customWidth="1"/>
    <col min="12" max="12" width="14.875" bestFit="1" customWidth="1"/>
    <col min="13" max="13" width="18.5" customWidth="1"/>
    <col min="14" max="14" width="13.875" bestFit="1" customWidth="1"/>
  </cols>
  <sheetData>
    <row r="1" spans="1:14">
      <c r="A1" s="36" t="s">
        <v>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62"/>
      <c r="M1" s="49"/>
    </row>
    <row r="2" spans="1:1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137</v>
      </c>
      <c r="J2" s="1" t="s">
        <v>11</v>
      </c>
      <c r="K2" s="1" t="s">
        <v>12</v>
      </c>
      <c r="L2" s="42" t="s">
        <v>64</v>
      </c>
      <c r="M2" s="50" t="s">
        <v>103</v>
      </c>
      <c r="N2" s="38" t="s">
        <v>65</v>
      </c>
    </row>
    <row r="3" spans="1:14">
      <c r="A3" s="52" t="s">
        <v>14</v>
      </c>
      <c r="B3" s="55" t="s">
        <v>15</v>
      </c>
      <c r="C3" s="52" t="s">
        <v>16</v>
      </c>
      <c r="D3" s="52" t="s">
        <v>17</v>
      </c>
      <c r="E3" s="52" t="s">
        <v>18</v>
      </c>
      <c r="F3" s="52" t="s">
        <v>19</v>
      </c>
      <c r="G3" s="52" t="s">
        <v>20</v>
      </c>
      <c r="H3" s="53" t="s">
        <v>21</v>
      </c>
      <c r="I3" s="68">
        <v>45772</v>
      </c>
      <c r="J3" s="54">
        <v>153511</v>
      </c>
      <c r="K3" s="54">
        <v>154139</v>
      </c>
      <c r="L3" s="69">
        <v>45757</v>
      </c>
      <c r="M3" s="70" t="s">
        <v>120</v>
      </c>
      <c r="N3" s="71">
        <v>45806</v>
      </c>
    </row>
    <row r="4" spans="1:14">
      <c r="A4" s="52" t="s">
        <v>14</v>
      </c>
      <c r="B4" s="55" t="s">
        <v>126</v>
      </c>
      <c r="C4" s="52" t="s">
        <v>23</v>
      </c>
      <c r="D4" s="52" t="s">
        <v>24</v>
      </c>
      <c r="E4" s="52" t="s">
        <v>18</v>
      </c>
      <c r="F4" s="52" t="s">
        <v>127</v>
      </c>
      <c r="G4" s="52" t="s">
        <v>20</v>
      </c>
      <c r="H4" s="53" t="s">
        <v>66</v>
      </c>
      <c r="I4" s="68">
        <v>45772</v>
      </c>
      <c r="J4" s="54"/>
      <c r="K4" s="54"/>
      <c r="L4" s="64" t="s">
        <v>128</v>
      </c>
      <c r="M4" s="57"/>
      <c r="N4" s="57" t="s">
        <v>128</v>
      </c>
    </row>
    <row r="5" spans="1:14">
      <c r="A5" s="11" t="s">
        <v>14</v>
      </c>
      <c r="B5" s="6" t="s">
        <v>27</v>
      </c>
      <c r="C5" s="11" t="s">
        <v>28</v>
      </c>
      <c r="D5" s="11" t="s">
        <v>17</v>
      </c>
      <c r="E5" s="11" t="s">
        <v>18</v>
      </c>
      <c r="F5" s="11" t="s">
        <v>29</v>
      </c>
      <c r="G5" s="11" t="s">
        <v>20</v>
      </c>
      <c r="H5" s="12" t="s">
        <v>30</v>
      </c>
      <c r="I5" s="7">
        <v>45772</v>
      </c>
      <c r="J5" s="13" t="s">
        <v>84</v>
      </c>
      <c r="K5" s="13">
        <v>90189</v>
      </c>
      <c r="L5" s="63">
        <v>45741</v>
      </c>
      <c r="M5" s="58" t="s">
        <v>138</v>
      </c>
      <c r="N5" s="59">
        <v>45806</v>
      </c>
    </row>
    <row r="6" spans="1:14">
      <c r="A6" s="52" t="s">
        <v>14</v>
      </c>
      <c r="B6" s="55" t="s">
        <v>31</v>
      </c>
      <c r="C6" s="52" t="s">
        <v>32</v>
      </c>
      <c r="D6" s="52" t="s">
        <v>24</v>
      </c>
      <c r="E6" s="52" t="s">
        <v>18</v>
      </c>
      <c r="F6" s="52" t="s">
        <v>139</v>
      </c>
      <c r="G6" s="52" t="s">
        <v>20</v>
      </c>
      <c r="H6" s="53" t="s">
        <v>66</v>
      </c>
      <c r="I6" s="68">
        <v>45772</v>
      </c>
      <c r="J6" s="54"/>
      <c r="K6" s="54" t="s">
        <v>140</v>
      </c>
      <c r="L6" s="74"/>
      <c r="M6" s="75"/>
      <c r="N6" s="76"/>
    </row>
    <row r="7" spans="1:14">
      <c r="A7" s="3" t="s">
        <v>14</v>
      </c>
      <c r="B7" s="5" t="s">
        <v>31</v>
      </c>
      <c r="C7" s="3" t="s">
        <v>41</v>
      </c>
      <c r="D7" s="3" t="s">
        <v>24</v>
      </c>
      <c r="E7" s="3" t="s">
        <v>18</v>
      </c>
      <c r="F7" s="3" t="s">
        <v>42</v>
      </c>
      <c r="G7" s="3" t="s">
        <v>20</v>
      </c>
      <c r="H7" s="10" t="s">
        <v>91</v>
      </c>
      <c r="I7" s="7">
        <v>45772</v>
      </c>
      <c r="J7" s="18">
        <v>44599</v>
      </c>
      <c r="K7" s="18" t="s">
        <v>140</v>
      </c>
      <c r="L7" s="73">
        <v>45769</v>
      </c>
      <c r="M7" s="72" t="s">
        <v>141</v>
      </c>
      <c r="N7" s="59">
        <v>45807</v>
      </c>
    </row>
    <row r="8" spans="1:14">
      <c r="A8" s="3" t="s">
        <v>14</v>
      </c>
      <c r="B8" s="5" t="s">
        <v>31</v>
      </c>
      <c r="C8" s="3" t="s">
        <v>44</v>
      </c>
      <c r="D8" s="3" t="s">
        <v>24</v>
      </c>
      <c r="E8" s="3" t="s">
        <v>18</v>
      </c>
      <c r="F8" s="3" t="s">
        <v>45</v>
      </c>
      <c r="G8" s="3" t="s">
        <v>20</v>
      </c>
      <c r="H8" s="10" t="s">
        <v>129</v>
      </c>
      <c r="I8" s="7">
        <v>45772</v>
      </c>
      <c r="J8" s="18">
        <v>78937</v>
      </c>
      <c r="K8" s="18">
        <v>79411</v>
      </c>
      <c r="L8" s="65">
        <v>45772</v>
      </c>
      <c r="M8" s="58" t="s">
        <v>142</v>
      </c>
      <c r="N8" s="59">
        <v>45807</v>
      </c>
    </row>
    <row r="9" spans="1:14">
      <c r="A9" s="3" t="s">
        <v>14</v>
      </c>
      <c r="B9" s="5" t="s">
        <v>31</v>
      </c>
      <c r="C9" s="3" t="s">
        <v>47</v>
      </c>
      <c r="D9" s="3" t="s">
        <v>24</v>
      </c>
      <c r="E9" s="3" t="s">
        <v>18</v>
      </c>
      <c r="F9" s="3" t="s">
        <v>48</v>
      </c>
      <c r="G9" s="3" t="s">
        <v>20</v>
      </c>
      <c r="H9" s="10" t="s">
        <v>69</v>
      </c>
      <c r="I9" s="7">
        <v>45772</v>
      </c>
      <c r="J9" s="18">
        <v>59416</v>
      </c>
      <c r="K9" s="18">
        <v>59740</v>
      </c>
      <c r="L9" s="65">
        <v>45768</v>
      </c>
      <c r="M9" s="58" t="s">
        <v>143</v>
      </c>
      <c r="N9" s="59">
        <v>45807</v>
      </c>
    </row>
    <row r="10" spans="1:14">
      <c r="A10" s="3" t="s">
        <v>14</v>
      </c>
      <c r="B10" s="5" t="s">
        <v>92</v>
      </c>
      <c r="C10" s="3" t="s">
        <v>49</v>
      </c>
      <c r="D10" s="3" t="s">
        <v>24</v>
      </c>
      <c r="E10" s="3" t="s">
        <v>18</v>
      </c>
      <c r="F10" s="3" t="s">
        <v>93</v>
      </c>
      <c r="G10" s="3" t="s">
        <v>20</v>
      </c>
      <c r="H10" s="10" t="s">
        <v>94</v>
      </c>
      <c r="I10" s="7">
        <v>45772</v>
      </c>
      <c r="J10" s="18">
        <v>3209</v>
      </c>
      <c r="K10" s="18">
        <v>3754</v>
      </c>
      <c r="L10" s="66" t="s">
        <v>128</v>
      </c>
      <c r="M10" s="61" t="s">
        <v>120</v>
      </c>
      <c r="N10" s="59">
        <v>45805</v>
      </c>
    </row>
    <row r="11" spans="1:14">
      <c r="A11" s="3" t="s">
        <v>96</v>
      </c>
      <c r="B11" s="5" t="s">
        <v>97</v>
      </c>
      <c r="C11" s="3" t="s">
        <v>98</v>
      </c>
      <c r="D11" s="3" t="s">
        <v>99</v>
      </c>
      <c r="E11" s="3" t="s">
        <v>18</v>
      </c>
      <c r="F11" s="3" t="s">
        <v>100</v>
      </c>
      <c r="G11" s="3" t="s">
        <v>20</v>
      </c>
      <c r="H11" s="10" t="s">
        <v>101</v>
      </c>
      <c r="I11" s="7">
        <v>45772</v>
      </c>
      <c r="J11" s="18"/>
      <c r="K11" s="18" t="s">
        <v>140</v>
      </c>
      <c r="L11" s="65">
        <v>45764</v>
      </c>
      <c r="M11" s="61" t="s">
        <v>120</v>
      </c>
      <c r="N11" s="59">
        <v>45805</v>
      </c>
    </row>
    <row r="12" spans="1:14">
      <c r="A12" s="3" t="s">
        <v>14</v>
      </c>
      <c r="B12" s="5" t="s">
        <v>22</v>
      </c>
      <c r="C12" s="3" t="s">
        <v>52</v>
      </c>
      <c r="D12" s="3" t="s">
        <v>24</v>
      </c>
      <c r="E12" s="3" t="s">
        <v>18</v>
      </c>
      <c r="F12" s="3" t="s">
        <v>53</v>
      </c>
      <c r="G12" s="3" t="s">
        <v>20</v>
      </c>
      <c r="H12" s="10" t="s">
        <v>132</v>
      </c>
      <c r="I12" s="7">
        <v>45772</v>
      </c>
      <c r="J12" s="18">
        <v>41329</v>
      </c>
      <c r="K12" s="18">
        <v>41601</v>
      </c>
      <c r="L12" s="65">
        <v>45772</v>
      </c>
      <c r="M12" s="58" t="s">
        <v>144</v>
      </c>
      <c r="N12" s="59">
        <v>45807</v>
      </c>
    </row>
    <row r="13" spans="1:14">
      <c r="A13" s="292" t="s">
        <v>55</v>
      </c>
      <c r="B13" s="293"/>
      <c r="C13" s="293"/>
      <c r="D13" s="293"/>
      <c r="E13" s="293"/>
      <c r="F13" s="293"/>
      <c r="G13" s="293"/>
      <c r="H13" s="293"/>
      <c r="I13" s="293"/>
      <c r="J13" s="293"/>
      <c r="K13" s="293"/>
      <c r="L13" s="293"/>
      <c r="M13" s="293"/>
      <c r="N13" s="293"/>
    </row>
    <row r="14" spans="1:14">
      <c r="A14" s="1" t="s">
        <v>2</v>
      </c>
      <c r="B14" s="1" t="s">
        <v>3</v>
      </c>
      <c r="C14" s="1" t="s">
        <v>4</v>
      </c>
      <c r="D14" s="1" t="s">
        <v>5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56</v>
      </c>
      <c r="J14" s="1"/>
      <c r="K14" s="1" t="s">
        <v>57</v>
      </c>
      <c r="L14" s="1"/>
      <c r="M14" s="1"/>
      <c r="N14" s="38" t="s">
        <v>65</v>
      </c>
    </row>
    <row r="15" spans="1:14">
      <c r="L15" s="67"/>
    </row>
    <row r="18" spans="7:11">
      <c r="G18" s="307" t="s">
        <v>145</v>
      </c>
      <c r="H18" s="308"/>
      <c r="I18" s="308"/>
      <c r="J18" s="308"/>
      <c r="K18" s="309"/>
    </row>
    <row r="19" spans="7:11">
      <c r="G19" s="307" t="s">
        <v>146</v>
      </c>
      <c r="H19" s="308"/>
      <c r="I19" s="308"/>
      <c r="J19" s="308"/>
      <c r="K19" s="309"/>
    </row>
    <row r="20" spans="7:11">
      <c r="G20" s="307" t="s">
        <v>133</v>
      </c>
      <c r="H20" s="308"/>
      <c r="I20" s="308"/>
      <c r="J20" s="308"/>
      <c r="K20" s="309"/>
    </row>
    <row r="21" spans="7:11">
      <c r="G21" s="307" t="s">
        <v>147</v>
      </c>
      <c r="H21" s="308"/>
      <c r="I21" s="308"/>
      <c r="J21" s="308"/>
      <c r="K21" s="309"/>
    </row>
  </sheetData>
  <mergeCells count="5">
    <mergeCell ref="G21:K21"/>
    <mergeCell ref="A13:N13"/>
    <mergeCell ref="G18:K18"/>
    <mergeCell ref="G19:K19"/>
    <mergeCell ref="G20:K20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4.3"/>
  <cols>
    <col min="1" max="1" width="19.375" bestFit="1" customWidth="1"/>
    <col min="2" max="2" width="15.625" bestFit="1" customWidth="1"/>
    <col min="8" max="8" width="18.5" bestFit="1" customWidth="1"/>
    <col min="9" max="9" width="10.5" bestFit="1" customWidth="1"/>
    <col min="12" max="12" width="13.875" bestFit="1" customWidth="1"/>
    <col min="13" max="13" width="15.375" customWidth="1"/>
    <col min="14" max="14" width="13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10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45793</v>
      </c>
      <c r="J3" s="89">
        <v>155432</v>
      </c>
      <c r="K3" s="89">
        <v>156339</v>
      </c>
      <c r="L3" s="90">
        <v>45784</v>
      </c>
      <c r="M3" s="90" t="s">
        <v>120</v>
      </c>
      <c r="N3" s="99">
        <v>45796</v>
      </c>
    </row>
    <row r="4" spans="1:14">
      <c r="A4" s="86" t="s">
        <v>14</v>
      </c>
      <c r="B4" s="40" t="s">
        <v>126</v>
      </c>
      <c r="C4" s="86" t="s">
        <v>23</v>
      </c>
      <c r="D4" s="86" t="s">
        <v>24</v>
      </c>
      <c r="E4" s="86" t="s">
        <v>18</v>
      </c>
      <c r="F4" s="86" t="s">
        <v>127</v>
      </c>
      <c r="G4" s="86" t="s">
        <v>20</v>
      </c>
      <c r="H4" s="87" t="s">
        <v>66</v>
      </c>
      <c r="I4" s="88">
        <v>45793</v>
      </c>
      <c r="J4" s="89">
        <v>15405</v>
      </c>
      <c r="K4" s="89">
        <v>15660</v>
      </c>
      <c r="L4" s="105"/>
      <c r="M4" s="90" t="s">
        <v>120</v>
      </c>
      <c r="N4" s="99">
        <v>45796</v>
      </c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45793</v>
      </c>
      <c r="J5" s="89">
        <v>91255</v>
      </c>
      <c r="K5" s="89">
        <v>91919</v>
      </c>
      <c r="L5" s="90">
        <v>45778</v>
      </c>
      <c r="M5" s="90" t="s">
        <v>120</v>
      </c>
      <c r="N5" s="99">
        <v>45796</v>
      </c>
    </row>
    <row r="6" spans="1:14">
      <c r="A6" s="86" t="s">
        <v>14</v>
      </c>
      <c r="B6" s="40" t="s">
        <v>31</v>
      </c>
      <c r="C6" s="86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45793</v>
      </c>
      <c r="J6" s="86"/>
      <c r="K6" s="89">
        <v>14422</v>
      </c>
      <c r="L6" s="105"/>
      <c r="M6" s="90" t="s">
        <v>120</v>
      </c>
      <c r="N6" s="99">
        <v>45797</v>
      </c>
    </row>
    <row r="7" spans="1:14">
      <c r="A7" s="100" t="s">
        <v>14</v>
      </c>
      <c r="B7" s="41" t="s">
        <v>31</v>
      </c>
      <c r="C7" s="100" t="s">
        <v>44</v>
      </c>
      <c r="D7" s="100" t="s">
        <v>24</v>
      </c>
      <c r="E7" s="100" t="s">
        <v>18</v>
      </c>
      <c r="F7" s="100" t="s">
        <v>45</v>
      </c>
      <c r="G7" s="100" t="s">
        <v>20</v>
      </c>
      <c r="H7" s="101" t="s">
        <v>129</v>
      </c>
      <c r="I7" s="88">
        <v>45793</v>
      </c>
      <c r="J7" s="102">
        <v>80173</v>
      </c>
      <c r="K7" s="102">
        <v>80638</v>
      </c>
      <c r="L7" s="90">
        <v>45792</v>
      </c>
      <c r="M7" s="90" t="s">
        <v>148</v>
      </c>
      <c r="N7" s="99">
        <v>45798</v>
      </c>
    </row>
    <row r="8" spans="1:14">
      <c r="A8" s="100" t="s">
        <v>14</v>
      </c>
      <c r="B8" s="41" t="s">
        <v>31</v>
      </c>
      <c r="C8" s="100" t="s">
        <v>47</v>
      </c>
      <c r="D8" s="100" t="s">
        <v>24</v>
      </c>
      <c r="E8" s="100" t="s">
        <v>18</v>
      </c>
      <c r="F8" s="100" t="s">
        <v>48</v>
      </c>
      <c r="G8" s="100" t="s">
        <v>20</v>
      </c>
      <c r="H8" s="101" t="s">
        <v>69</v>
      </c>
      <c r="I8" s="88">
        <v>45793</v>
      </c>
      <c r="J8" s="100"/>
      <c r="K8" s="102">
        <v>60592</v>
      </c>
      <c r="L8" s="104">
        <v>45789</v>
      </c>
      <c r="M8" s="90" t="s">
        <v>149</v>
      </c>
      <c r="N8" s="99">
        <v>45799</v>
      </c>
    </row>
    <row r="9" spans="1:14">
      <c r="A9" s="100" t="s">
        <v>14</v>
      </c>
      <c r="B9" s="41" t="s">
        <v>92</v>
      </c>
      <c r="C9" s="100" t="s">
        <v>49</v>
      </c>
      <c r="D9" s="100" t="s">
        <v>24</v>
      </c>
      <c r="E9" s="100" t="s">
        <v>18</v>
      </c>
      <c r="F9" s="100" t="s">
        <v>93</v>
      </c>
      <c r="G9" s="100" t="s">
        <v>20</v>
      </c>
      <c r="H9" s="101" t="s">
        <v>94</v>
      </c>
      <c r="I9" s="88">
        <v>45793</v>
      </c>
      <c r="J9" s="102">
        <v>4870</v>
      </c>
      <c r="K9" s="102">
        <v>5379</v>
      </c>
      <c r="L9" s="111">
        <v>45778</v>
      </c>
      <c r="M9" s="90" t="s">
        <v>120</v>
      </c>
      <c r="N9" s="99">
        <v>45798</v>
      </c>
    </row>
    <row r="10" spans="1:14">
      <c r="A10" s="100" t="s">
        <v>96</v>
      </c>
      <c r="B10" s="41" t="s">
        <v>97</v>
      </c>
      <c r="C10" s="100" t="s">
        <v>98</v>
      </c>
      <c r="D10" s="100" t="s">
        <v>99</v>
      </c>
      <c r="E10" s="100" t="s">
        <v>18</v>
      </c>
      <c r="F10" s="100" t="s">
        <v>100</v>
      </c>
      <c r="G10" s="100" t="s">
        <v>20</v>
      </c>
      <c r="H10" s="101" t="s">
        <v>101</v>
      </c>
      <c r="I10" s="88">
        <v>45793</v>
      </c>
      <c r="J10" s="100"/>
      <c r="K10" s="100"/>
      <c r="L10" s="104">
        <v>45764</v>
      </c>
      <c r="M10" s="90" t="s">
        <v>120</v>
      </c>
      <c r="N10" s="99">
        <v>45797</v>
      </c>
    </row>
    <row r="11" spans="1:14">
      <c r="A11" s="86" t="s">
        <v>14</v>
      </c>
      <c r="B11" s="40" t="s">
        <v>22</v>
      </c>
      <c r="C11" s="86" t="s">
        <v>52</v>
      </c>
      <c r="D11" s="86" t="s">
        <v>24</v>
      </c>
      <c r="E11" s="86" t="s">
        <v>18</v>
      </c>
      <c r="F11" s="86" t="s">
        <v>53</v>
      </c>
      <c r="G11" s="86" t="s">
        <v>20</v>
      </c>
      <c r="H11" s="87" t="s">
        <v>132</v>
      </c>
      <c r="I11" s="88">
        <v>45793</v>
      </c>
      <c r="J11" s="89">
        <v>42106</v>
      </c>
      <c r="K11" s="89">
        <v>42263</v>
      </c>
      <c r="L11" s="104">
        <v>45784</v>
      </c>
      <c r="M11" s="90" t="s">
        <v>120</v>
      </c>
      <c r="N11" s="99">
        <v>45797</v>
      </c>
    </row>
    <row r="12" spans="1:14">
      <c r="A12" s="311" t="s">
        <v>55</v>
      </c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</row>
    <row r="13" spans="1:14">
      <c r="A13" s="82" t="s">
        <v>2</v>
      </c>
      <c r="B13" s="82" t="s">
        <v>3</v>
      </c>
      <c r="C13" s="82" t="s">
        <v>4</v>
      </c>
      <c r="D13" s="82" t="s">
        <v>5</v>
      </c>
      <c r="E13" s="82" t="s">
        <v>6</v>
      </c>
      <c r="F13" s="82" t="s">
        <v>7</v>
      </c>
      <c r="G13" s="82" t="s">
        <v>8</v>
      </c>
      <c r="H13" s="82" t="s">
        <v>9</v>
      </c>
      <c r="I13" s="82" t="s">
        <v>56</v>
      </c>
      <c r="J13" s="82"/>
      <c r="K13" s="82" t="s">
        <v>57</v>
      </c>
      <c r="L13" s="82"/>
      <c r="M13" s="82"/>
      <c r="N13" s="85" t="s">
        <v>65</v>
      </c>
    </row>
    <row r="14" spans="1:14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112"/>
      <c r="M14" s="81"/>
      <c r="N14" s="81"/>
    </row>
    <row r="15" spans="1:14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</row>
    <row r="16" spans="1:14">
      <c r="A16" s="81"/>
      <c r="B16" s="81"/>
      <c r="C16" s="81"/>
      <c r="D16" s="81"/>
      <c r="E16" s="81"/>
      <c r="F16" s="81"/>
      <c r="L16" s="81"/>
      <c r="M16" s="81"/>
      <c r="N16" s="81"/>
    </row>
  </sheetData>
  <mergeCells count="1">
    <mergeCell ref="A12:N1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9" zoomScaleNormal="79" workbookViewId="0">
      <selection activeCell="B20" sqref="B20"/>
    </sheetView>
  </sheetViews>
  <sheetFormatPr defaultRowHeight="14.3"/>
  <cols>
    <col min="1" max="1" width="19.375" bestFit="1" customWidth="1"/>
    <col min="2" max="2" width="15.625" bestFit="1" customWidth="1"/>
    <col min="8" max="8" width="18.5" bestFit="1" customWidth="1"/>
    <col min="9" max="9" width="10.875" bestFit="1" customWidth="1"/>
    <col min="10" max="10" width="12.625" bestFit="1" customWidth="1"/>
    <col min="12" max="12" width="13.875" bestFit="1" customWidth="1"/>
    <col min="13" max="13" width="25.625" bestFit="1" customWidth="1"/>
    <col min="14" max="14" width="13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150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45777</v>
      </c>
      <c r="J3" s="89">
        <v>154139</v>
      </c>
      <c r="K3" s="89">
        <v>154675</v>
      </c>
      <c r="L3" s="90">
        <v>45757</v>
      </c>
      <c r="M3" s="91" t="s">
        <v>120</v>
      </c>
      <c r="N3" s="92">
        <v>45782</v>
      </c>
    </row>
    <row r="4" spans="1:14">
      <c r="A4" s="93" t="s">
        <v>14</v>
      </c>
      <c r="B4" s="94" t="s">
        <v>126</v>
      </c>
      <c r="C4" s="93" t="s">
        <v>23</v>
      </c>
      <c r="D4" s="93" t="s">
        <v>24</v>
      </c>
      <c r="E4" s="93" t="s">
        <v>18</v>
      </c>
      <c r="F4" s="93" t="s">
        <v>127</v>
      </c>
      <c r="G4" s="93" t="s">
        <v>20</v>
      </c>
      <c r="H4" s="95" t="s">
        <v>66</v>
      </c>
      <c r="I4" s="109">
        <v>45777</v>
      </c>
      <c r="J4" s="93"/>
      <c r="K4" s="93"/>
      <c r="L4" s="96"/>
      <c r="M4" s="97"/>
      <c r="N4" s="97"/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45777</v>
      </c>
      <c r="J5" s="89">
        <v>90189</v>
      </c>
      <c r="K5" s="89">
        <v>90513</v>
      </c>
      <c r="L5" s="90">
        <v>45776</v>
      </c>
      <c r="M5" s="98" t="s">
        <v>151</v>
      </c>
      <c r="N5" s="99">
        <v>45784</v>
      </c>
    </row>
    <row r="6" spans="1:14">
      <c r="A6" s="93" t="s">
        <v>14</v>
      </c>
      <c r="B6" s="94" t="s">
        <v>31</v>
      </c>
      <c r="C6" s="93" t="s">
        <v>32</v>
      </c>
      <c r="D6" s="93" t="s">
        <v>24</v>
      </c>
      <c r="E6" s="93" t="s">
        <v>18</v>
      </c>
      <c r="F6" s="93" t="s">
        <v>139</v>
      </c>
      <c r="G6" s="93" t="s">
        <v>20</v>
      </c>
      <c r="H6" s="95" t="s">
        <v>66</v>
      </c>
      <c r="I6" s="109">
        <v>45777</v>
      </c>
      <c r="J6" s="93"/>
      <c r="K6" s="93"/>
      <c r="L6" s="96"/>
      <c r="M6" s="97"/>
      <c r="N6" s="97"/>
    </row>
    <row r="7" spans="1:14">
      <c r="A7" s="100" t="s">
        <v>14</v>
      </c>
      <c r="B7" s="41" t="s">
        <v>31</v>
      </c>
      <c r="C7" s="100" t="s">
        <v>41</v>
      </c>
      <c r="D7" s="100" t="s">
        <v>24</v>
      </c>
      <c r="E7" s="100" t="s">
        <v>18</v>
      </c>
      <c r="F7" s="100" t="s">
        <v>42</v>
      </c>
      <c r="G7" s="100" t="s">
        <v>20</v>
      </c>
      <c r="H7" s="101" t="s">
        <v>94</v>
      </c>
      <c r="I7" s="88">
        <v>45777</v>
      </c>
      <c r="J7" s="102">
        <v>44599</v>
      </c>
      <c r="K7" s="102">
        <v>45317</v>
      </c>
      <c r="L7" s="103">
        <v>45769</v>
      </c>
      <c r="M7" s="110" t="s">
        <v>120</v>
      </c>
      <c r="N7" s="99">
        <v>45782</v>
      </c>
    </row>
    <row r="8" spans="1:14">
      <c r="A8" s="100" t="s">
        <v>14</v>
      </c>
      <c r="B8" s="41" t="s">
        <v>31</v>
      </c>
      <c r="C8" s="100" t="s">
        <v>44</v>
      </c>
      <c r="D8" s="100" t="s">
        <v>24</v>
      </c>
      <c r="E8" s="100" t="s">
        <v>18</v>
      </c>
      <c r="F8" s="100" t="s">
        <v>45</v>
      </c>
      <c r="G8" s="100" t="s">
        <v>20</v>
      </c>
      <c r="H8" s="101" t="s">
        <v>129</v>
      </c>
      <c r="I8" s="88">
        <v>45777</v>
      </c>
      <c r="J8" s="102">
        <v>79411</v>
      </c>
      <c r="K8" s="102">
        <v>79662</v>
      </c>
      <c r="L8" s="104">
        <v>45775</v>
      </c>
      <c r="M8" s="98" t="s">
        <v>152</v>
      </c>
      <c r="N8" s="99">
        <v>45781</v>
      </c>
    </row>
    <row r="9" spans="1:14">
      <c r="A9" s="100" t="s">
        <v>14</v>
      </c>
      <c r="B9" s="41" t="s">
        <v>31</v>
      </c>
      <c r="C9" s="100" t="s">
        <v>47</v>
      </c>
      <c r="D9" s="100" t="s">
        <v>24</v>
      </c>
      <c r="E9" s="100" t="s">
        <v>18</v>
      </c>
      <c r="F9" s="100" t="s">
        <v>48</v>
      </c>
      <c r="G9" s="100" t="s">
        <v>20</v>
      </c>
      <c r="H9" s="101" t="s">
        <v>69</v>
      </c>
      <c r="I9" s="88">
        <v>45777</v>
      </c>
      <c r="J9" s="102">
        <v>59740</v>
      </c>
      <c r="K9" s="102">
        <v>59928</v>
      </c>
      <c r="L9" s="104">
        <v>45777</v>
      </c>
      <c r="M9" s="98" t="s">
        <v>153</v>
      </c>
      <c r="N9" s="99">
        <v>45784</v>
      </c>
    </row>
    <row r="10" spans="1:14">
      <c r="A10" s="100" t="s">
        <v>14</v>
      </c>
      <c r="B10" s="41" t="s">
        <v>92</v>
      </c>
      <c r="C10" s="100" t="s">
        <v>49</v>
      </c>
      <c r="D10" s="100" t="s">
        <v>24</v>
      </c>
      <c r="E10" s="100" t="s">
        <v>18</v>
      </c>
      <c r="F10" s="100" t="s">
        <v>93</v>
      </c>
      <c r="G10" s="100" t="s">
        <v>20</v>
      </c>
      <c r="H10" s="101" t="s">
        <v>94</v>
      </c>
      <c r="I10" s="88">
        <v>45777</v>
      </c>
      <c r="J10" s="102">
        <v>3754</v>
      </c>
      <c r="K10" s="102">
        <v>4074</v>
      </c>
      <c r="L10" s="105"/>
      <c r="M10" s="98" t="s">
        <v>154</v>
      </c>
      <c r="N10" s="99">
        <v>45778</v>
      </c>
    </row>
    <row r="11" spans="1:14">
      <c r="A11" s="100" t="s">
        <v>96</v>
      </c>
      <c r="B11" s="41" t="s">
        <v>97</v>
      </c>
      <c r="C11" s="100" t="s">
        <v>98</v>
      </c>
      <c r="D11" s="100" t="s">
        <v>99</v>
      </c>
      <c r="E11" s="100" t="s">
        <v>18</v>
      </c>
      <c r="F11" s="100" t="s">
        <v>100</v>
      </c>
      <c r="G11" s="100" t="s">
        <v>20</v>
      </c>
      <c r="H11" s="101" t="s">
        <v>101</v>
      </c>
      <c r="I11" s="88">
        <v>45777</v>
      </c>
      <c r="J11" s="100" t="s">
        <v>140</v>
      </c>
      <c r="K11" s="100"/>
      <c r="L11" s="104">
        <v>45764</v>
      </c>
      <c r="M11" s="91" t="s">
        <v>120</v>
      </c>
      <c r="N11" s="99">
        <v>45775</v>
      </c>
    </row>
    <row r="12" spans="1:14">
      <c r="A12" s="93" t="s">
        <v>14</v>
      </c>
      <c r="B12" s="94" t="s">
        <v>22</v>
      </c>
      <c r="C12" s="93" t="s">
        <v>52</v>
      </c>
      <c r="D12" s="93" t="s">
        <v>24</v>
      </c>
      <c r="E12" s="93" t="s">
        <v>18</v>
      </c>
      <c r="F12" s="93" t="s">
        <v>53</v>
      </c>
      <c r="G12" s="93" t="s">
        <v>20</v>
      </c>
      <c r="H12" s="95" t="s">
        <v>132</v>
      </c>
      <c r="I12" s="109">
        <v>45777</v>
      </c>
      <c r="J12" s="106">
        <v>41601</v>
      </c>
      <c r="K12" s="106">
        <v>41793</v>
      </c>
      <c r="L12" s="107">
        <v>45805</v>
      </c>
      <c r="M12" s="97" t="s">
        <v>155</v>
      </c>
      <c r="N12" s="108">
        <v>45782</v>
      </c>
    </row>
    <row r="13" spans="1:14">
      <c r="A13" s="311" t="s">
        <v>55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  <row r="18" spans="8:12">
      <c r="H18" s="307" t="s">
        <v>156</v>
      </c>
      <c r="I18" s="308"/>
      <c r="J18" s="308"/>
      <c r="K18" s="308"/>
      <c r="L18" s="308"/>
    </row>
    <row r="19" spans="8:12">
      <c r="H19" s="307" t="s">
        <v>133</v>
      </c>
      <c r="I19" s="308"/>
      <c r="J19" s="308"/>
      <c r="K19" s="308"/>
      <c r="L19" s="308"/>
    </row>
    <row r="20" spans="8:12">
      <c r="H20" s="307" t="s">
        <v>147</v>
      </c>
      <c r="I20" s="308"/>
      <c r="J20" s="308"/>
      <c r="K20" s="308"/>
      <c r="L20" s="308"/>
    </row>
  </sheetData>
  <mergeCells count="4">
    <mergeCell ref="A13:N13"/>
    <mergeCell ref="H18:L18"/>
    <mergeCell ref="H19:L19"/>
    <mergeCell ref="H20:L2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selection activeCell="I9" sqref="I9"/>
    </sheetView>
  </sheetViews>
  <sheetFormatPr defaultRowHeight="14.3"/>
  <cols>
    <col min="1" max="1" width="19.375" bestFit="1" customWidth="1"/>
    <col min="2" max="2" width="15.625" bestFit="1" customWidth="1"/>
    <col min="9" max="9" width="10.5" bestFit="1" customWidth="1"/>
    <col min="12" max="12" width="13.875" bestFit="1" customWidth="1"/>
    <col min="13" max="13" width="21.625" bestFit="1" customWidth="1"/>
    <col min="14" max="14" width="13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56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45786</v>
      </c>
      <c r="J3" s="89">
        <v>154675</v>
      </c>
      <c r="K3" s="89">
        <v>155432</v>
      </c>
      <c r="L3" s="90">
        <v>45784</v>
      </c>
      <c r="M3" s="98" t="s">
        <v>157</v>
      </c>
      <c r="N3" s="99">
        <v>45790</v>
      </c>
    </row>
    <row r="4" spans="1:14">
      <c r="A4" s="86" t="s">
        <v>14</v>
      </c>
      <c r="B4" s="40" t="s">
        <v>126</v>
      </c>
      <c r="C4" s="86" t="s">
        <v>23</v>
      </c>
      <c r="D4" s="86" t="s">
        <v>24</v>
      </c>
      <c r="E4" s="86" t="s">
        <v>18</v>
      </c>
      <c r="F4" s="86" t="s">
        <v>127</v>
      </c>
      <c r="G4" s="86" t="s">
        <v>20</v>
      </c>
      <c r="H4" s="87" t="s">
        <v>66</v>
      </c>
      <c r="I4" s="88">
        <v>45786</v>
      </c>
      <c r="J4" s="86"/>
      <c r="K4" s="89">
        <v>15405</v>
      </c>
      <c r="L4" s="105"/>
      <c r="M4" s="98"/>
      <c r="N4" s="98"/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45786</v>
      </c>
      <c r="J5" s="89">
        <v>90513</v>
      </c>
      <c r="K5" s="89">
        <v>91255</v>
      </c>
      <c r="L5" s="90">
        <v>45778</v>
      </c>
      <c r="M5" s="91" t="s">
        <v>120</v>
      </c>
      <c r="N5" s="99">
        <v>45791</v>
      </c>
    </row>
    <row r="6" spans="1:14">
      <c r="A6" s="86" t="s">
        <v>14</v>
      </c>
      <c r="B6" s="40" t="s">
        <v>31</v>
      </c>
      <c r="C6" s="86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45786</v>
      </c>
      <c r="J6" s="86"/>
      <c r="K6" s="86"/>
      <c r="L6" s="105"/>
      <c r="M6" s="98"/>
      <c r="N6" s="98"/>
    </row>
    <row r="7" spans="1:14">
      <c r="A7" s="100" t="s">
        <v>14</v>
      </c>
      <c r="B7" s="41" t="s">
        <v>31</v>
      </c>
      <c r="C7" s="100" t="s">
        <v>41</v>
      </c>
      <c r="D7" s="100" t="s">
        <v>24</v>
      </c>
      <c r="E7" s="100" t="s">
        <v>18</v>
      </c>
      <c r="F7" s="100" t="s">
        <v>42</v>
      </c>
      <c r="G7" s="100" t="s">
        <v>20</v>
      </c>
      <c r="H7" s="101" t="s">
        <v>91</v>
      </c>
      <c r="I7" s="88">
        <v>45786</v>
      </c>
      <c r="J7" s="102">
        <v>45317</v>
      </c>
      <c r="K7" s="102">
        <v>46409</v>
      </c>
      <c r="L7" s="103">
        <v>45769</v>
      </c>
      <c r="M7" s="91" t="s">
        <v>120</v>
      </c>
      <c r="N7" s="99">
        <v>45790</v>
      </c>
    </row>
    <row r="8" spans="1:14">
      <c r="A8" s="100" t="s">
        <v>14</v>
      </c>
      <c r="B8" s="41" t="s">
        <v>31</v>
      </c>
      <c r="C8" s="100" t="s">
        <v>44</v>
      </c>
      <c r="D8" s="100" t="s">
        <v>24</v>
      </c>
      <c r="E8" s="100" t="s">
        <v>18</v>
      </c>
      <c r="F8" s="100" t="s">
        <v>45</v>
      </c>
      <c r="G8" s="100" t="s">
        <v>20</v>
      </c>
      <c r="H8" s="101" t="s">
        <v>129</v>
      </c>
      <c r="I8" s="88">
        <v>45786</v>
      </c>
      <c r="J8" s="102">
        <v>79662</v>
      </c>
      <c r="K8" s="102">
        <v>80173</v>
      </c>
      <c r="L8" s="104">
        <v>45775</v>
      </c>
      <c r="M8" s="91" t="s">
        <v>120</v>
      </c>
      <c r="N8" s="99">
        <v>45790</v>
      </c>
    </row>
    <row r="9" spans="1:14">
      <c r="A9" s="100" t="s">
        <v>14</v>
      </c>
      <c r="B9" s="41" t="s">
        <v>31</v>
      </c>
      <c r="C9" s="100" t="s">
        <v>47</v>
      </c>
      <c r="D9" s="100" t="s">
        <v>24</v>
      </c>
      <c r="E9" s="100" t="s">
        <v>18</v>
      </c>
      <c r="F9" s="100" t="s">
        <v>48</v>
      </c>
      <c r="G9" s="100" t="s">
        <v>20</v>
      </c>
      <c r="H9" s="101" t="s">
        <v>69</v>
      </c>
      <c r="I9" s="88">
        <v>45786</v>
      </c>
      <c r="J9" s="102">
        <v>59928</v>
      </c>
      <c r="K9" s="100"/>
      <c r="L9" s="104">
        <v>45781</v>
      </c>
      <c r="M9" s="98" t="s">
        <v>158</v>
      </c>
      <c r="N9" s="99">
        <v>45792</v>
      </c>
    </row>
    <row r="10" spans="1:14">
      <c r="A10" s="100" t="s">
        <v>14</v>
      </c>
      <c r="B10" s="41" t="s">
        <v>92</v>
      </c>
      <c r="C10" s="100" t="s">
        <v>49</v>
      </c>
      <c r="D10" s="100" t="s">
        <v>24</v>
      </c>
      <c r="E10" s="100" t="s">
        <v>18</v>
      </c>
      <c r="F10" s="100" t="s">
        <v>93</v>
      </c>
      <c r="G10" s="100" t="s">
        <v>20</v>
      </c>
      <c r="H10" s="101" t="s">
        <v>94</v>
      </c>
      <c r="I10" s="88">
        <v>45786</v>
      </c>
      <c r="J10" s="102">
        <v>4074</v>
      </c>
      <c r="K10" s="102">
        <v>4870</v>
      </c>
      <c r="L10" s="111">
        <v>45778</v>
      </c>
      <c r="M10" s="98" t="s">
        <v>159</v>
      </c>
      <c r="N10" s="99">
        <v>45790</v>
      </c>
    </row>
    <row r="11" spans="1:14">
      <c r="A11" s="100" t="s">
        <v>96</v>
      </c>
      <c r="B11" s="41" t="s">
        <v>97</v>
      </c>
      <c r="C11" s="100" t="s">
        <v>98</v>
      </c>
      <c r="D11" s="100" t="s">
        <v>99</v>
      </c>
      <c r="E11" s="100" t="s">
        <v>18</v>
      </c>
      <c r="F11" s="100" t="s">
        <v>100</v>
      </c>
      <c r="G11" s="100" t="s">
        <v>20</v>
      </c>
      <c r="H11" s="101" t="s">
        <v>101</v>
      </c>
      <c r="I11" s="88">
        <v>45786</v>
      </c>
      <c r="J11" s="100"/>
      <c r="K11" s="100"/>
      <c r="L11" s="104">
        <v>45764</v>
      </c>
      <c r="M11" s="91" t="s">
        <v>120</v>
      </c>
      <c r="N11" s="99">
        <v>45790</v>
      </c>
    </row>
    <row r="12" spans="1:14">
      <c r="A12" s="86" t="s">
        <v>14</v>
      </c>
      <c r="B12" s="40" t="s">
        <v>22</v>
      </c>
      <c r="C12" s="86" t="s">
        <v>52</v>
      </c>
      <c r="D12" s="86" t="s">
        <v>24</v>
      </c>
      <c r="E12" s="86" t="s">
        <v>18</v>
      </c>
      <c r="F12" s="86" t="s">
        <v>53</v>
      </c>
      <c r="G12" s="86" t="s">
        <v>20</v>
      </c>
      <c r="H12" s="87" t="s">
        <v>132</v>
      </c>
      <c r="I12" s="88">
        <v>45786</v>
      </c>
      <c r="J12" s="89">
        <v>41793</v>
      </c>
      <c r="K12" s="89">
        <v>42106</v>
      </c>
      <c r="L12" s="104">
        <v>45784</v>
      </c>
      <c r="M12" s="98" t="s">
        <v>160</v>
      </c>
      <c r="N12" s="99">
        <v>45792</v>
      </c>
    </row>
    <row r="13" spans="1:14">
      <c r="A13" s="311" t="s">
        <v>55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  <row r="15" spans="1:14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12"/>
      <c r="M15" s="81"/>
      <c r="N15" s="81"/>
    </row>
    <row r="16" spans="1:14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</row>
    <row r="17" spans="1:14">
      <c r="A17" s="81"/>
      <c r="B17" s="81"/>
      <c r="C17" s="81"/>
      <c r="D17" s="81"/>
      <c r="E17" s="81"/>
      <c r="F17" s="81"/>
      <c r="G17" s="307" t="s">
        <v>161</v>
      </c>
      <c r="H17" s="308"/>
      <c r="I17" s="308"/>
      <c r="J17" s="308"/>
      <c r="K17" s="308"/>
      <c r="L17" s="81"/>
      <c r="M17" s="81"/>
      <c r="N17" s="81"/>
    </row>
  </sheetData>
  <mergeCells count="2">
    <mergeCell ref="A13:N13"/>
    <mergeCell ref="G17:K1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selection activeCell="F18" sqref="F18:J18"/>
    </sheetView>
  </sheetViews>
  <sheetFormatPr defaultRowHeight="14.3"/>
  <cols>
    <col min="1" max="1" width="20.5" bestFit="1" customWidth="1"/>
    <col min="2" max="2" width="17" bestFit="1" customWidth="1"/>
    <col min="3" max="3" width="14.375" bestFit="1" customWidth="1"/>
    <col min="8" max="8" width="20" bestFit="1" customWidth="1"/>
    <col min="9" max="9" width="11.625" bestFit="1" customWidth="1"/>
    <col min="10" max="10" width="14" bestFit="1" customWidth="1"/>
    <col min="11" max="11" width="11.125" bestFit="1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125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45800</v>
      </c>
      <c r="J3" s="89">
        <v>156339</v>
      </c>
      <c r="K3" s="89">
        <v>157090</v>
      </c>
      <c r="L3" s="90">
        <v>45784</v>
      </c>
      <c r="M3" s="114" t="s">
        <v>120</v>
      </c>
      <c r="N3" s="99">
        <v>45805</v>
      </c>
    </row>
    <row r="4" spans="1:14">
      <c r="A4" s="86" t="s">
        <v>14</v>
      </c>
      <c r="B4" s="40" t="s">
        <v>126</v>
      </c>
      <c r="C4" s="86" t="s">
        <v>23</v>
      </c>
      <c r="D4" s="86" t="s">
        <v>24</v>
      </c>
      <c r="E4" s="86" t="s">
        <v>18</v>
      </c>
      <c r="F4" s="86" t="s">
        <v>127</v>
      </c>
      <c r="G4" s="86" t="s">
        <v>20</v>
      </c>
      <c r="H4" s="87" t="s">
        <v>66</v>
      </c>
      <c r="I4" s="88">
        <v>45800</v>
      </c>
      <c r="J4" s="89">
        <v>15660</v>
      </c>
      <c r="K4" s="89">
        <v>16318</v>
      </c>
      <c r="L4" s="105"/>
      <c r="M4" s="114" t="s">
        <v>120</v>
      </c>
      <c r="N4" s="99">
        <v>45805</v>
      </c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45800</v>
      </c>
      <c r="J5" s="89">
        <v>91919</v>
      </c>
      <c r="K5" s="89">
        <v>92452</v>
      </c>
      <c r="L5" s="90">
        <v>45778</v>
      </c>
      <c r="M5" s="114" t="s">
        <v>120</v>
      </c>
      <c r="N5" s="128">
        <v>45804</v>
      </c>
    </row>
    <row r="6" spans="1:14">
      <c r="A6" s="86" t="s">
        <v>14</v>
      </c>
      <c r="B6" s="40" t="s">
        <v>126</v>
      </c>
      <c r="C6" s="86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45800</v>
      </c>
      <c r="J6" s="89">
        <v>14422</v>
      </c>
      <c r="K6" s="89">
        <v>15249</v>
      </c>
      <c r="L6" s="90">
        <v>45792</v>
      </c>
      <c r="M6" s="114" t="s">
        <v>120</v>
      </c>
      <c r="N6" s="99">
        <v>45805</v>
      </c>
    </row>
    <row r="7" spans="1:14">
      <c r="A7" s="113" t="s">
        <v>14</v>
      </c>
      <c r="B7" s="129" t="s">
        <v>31</v>
      </c>
      <c r="C7" s="130" t="s">
        <v>44</v>
      </c>
      <c r="D7" s="130" t="s">
        <v>24</v>
      </c>
      <c r="E7" s="130" t="s">
        <v>18</v>
      </c>
      <c r="F7" s="130" t="s">
        <v>45</v>
      </c>
      <c r="G7" s="130" t="s">
        <v>20</v>
      </c>
      <c r="H7" s="131"/>
      <c r="I7" s="109"/>
      <c r="J7" s="132"/>
      <c r="K7" s="132"/>
      <c r="L7" s="133"/>
      <c r="M7" s="133"/>
      <c r="N7" s="134"/>
    </row>
    <row r="8" spans="1:14">
      <c r="A8" s="100" t="s">
        <v>14</v>
      </c>
      <c r="B8" s="41" t="s">
        <v>31</v>
      </c>
      <c r="C8" s="100" t="s">
        <v>47</v>
      </c>
      <c r="D8" s="100" t="s">
        <v>24</v>
      </c>
      <c r="E8" s="100" t="s">
        <v>18</v>
      </c>
      <c r="F8" s="100" t="s">
        <v>162</v>
      </c>
      <c r="G8" s="100" t="s">
        <v>20</v>
      </c>
      <c r="H8" s="101" t="s">
        <v>163</v>
      </c>
      <c r="I8" s="88">
        <v>45800</v>
      </c>
      <c r="J8" s="102"/>
      <c r="K8" s="102">
        <v>10306</v>
      </c>
      <c r="L8" s="104">
        <v>45797</v>
      </c>
      <c r="M8" s="90"/>
      <c r="N8" s="99">
        <v>45803</v>
      </c>
    </row>
    <row r="9" spans="1:14">
      <c r="A9" s="100" t="s">
        <v>14</v>
      </c>
      <c r="B9" s="41" t="s">
        <v>92</v>
      </c>
      <c r="C9" s="100" t="s">
        <v>49</v>
      </c>
      <c r="D9" s="100" t="s">
        <v>24</v>
      </c>
      <c r="E9" s="100" t="s">
        <v>18</v>
      </c>
      <c r="F9" s="100" t="s">
        <v>93</v>
      </c>
      <c r="G9" s="100" t="s">
        <v>20</v>
      </c>
      <c r="H9" s="101" t="s">
        <v>94</v>
      </c>
      <c r="I9" s="88">
        <v>45800</v>
      </c>
      <c r="J9" s="102">
        <v>5379</v>
      </c>
      <c r="K9" s="102">
        <v>5942</v>
      </c>
      <c r="L9" s="104">
        <v>45800</v>
      </c>
      <c r="M9" s="90"/>
      <c r="N9" s="99">
        <v>45798</v>
      </c>
    </row>
    <row r="10" spans="1:14">
      <c r="A10" s="100" t="s">
        <v>96</v>
      </c>
      <c r="B10" s="41" t="s">
        <v>97</v>
      </c>
      <c r="C10" s="100" t="s">
        <v>98</v>
      </c>
      <c r="D10" s="100" t="s">
        <v>99</v>
      </c>
      <c r="E10" s="100" t="s">
        <v>18</v>
      </c>
      <c r="F10" s="100" t="s">
        <v>100</v>
      </c>
      <c r="G10" s="100" t="s">
        <v>20</v>
      </c>
      <c r="H10" s="101" t="s">
        <v>101</v>
      </c>
      <c r="I10" s="88">
        <v>45800</v>
      </c>
      <c r="J10" s="100"/>
      <c r="K10" s="102">
        <v>15349</v>
      </c>
      <c r="L10" s="104"/>
      <c r="M10" s="114" t="s">
        <v>120</v>
      </c>
      <c r="N10" s="99"/>
    </row>
    <row r="11" spans="1:14">
      <c r="A11" s="100" t="s">
        <v>14</v>
      </c>
      <c r="B11" s="41" t="s">
        <v>164</v>
      </c>
      <c r="C11" s="100" t="s">
        <v>41</v>
      </c>
      <c r="D11" s="100" t="s">
        <v>165</v>
      </c>
      <c r="E11" s="100" t="s">
        <v>18</v>
      </c>
      <c r="F11" s="100" t="s">
        <v>166</v>
      </c>
      <c r="G11" s="100" t="s">
        <v>20</v>
      </c>
      <c r="H11" s="101" t="s">
        <v>91</v>
      </c>
      <c r="I11" s="88">
        <v>45800</v>
      </c>
      <c r="J11" s="100"/>
      <c r="K11" s="100"/>
      <c r="L11" s="104"/>
      <c r="M11" s="90"/>
      <c r="N11" s="99">
        <v>45807</v>
      </c>
    </row>
    <row r="12" spans="1:14">
      <c r="A12" s="121" t="s">
        <v>14</v>
      </c>
      <c r="B12" s="122" t="s">
        <v>126</v>
      </c>
      <c r="C12" s="121" t="s">
        <v>52</v>
      </c>
      <c r="D12" s="121" t="s">
        <v>24</v>
      </c>
      <c r="E12" s="121" t="s">
        <v>18</v>
      </c>
      <c r="F12" s="121" t="s">
        <v>167</v>
      </c>
      <c r="G12" s="121" t="s">
        <v>20</v>
      </c>
      <c r="H12" s="123" t="s">
        <v>132</v>
      </c>
      <c r="I12" s="124">
        <v>45800</v>
      </c>
      <c r="J12" s="125"/>
      <c r="K12" s="125">
        <v>3705</v>
      </c>
      <c r="L12" s="126">
        <v>45797</v>
      </c>
      <c r="M12" s="127"/>
      <c r="N12" s="128">
        <v>45804</v>
      </c>
    </row>
    <row r="13" spans="1:14">
      <c r="A13" s="115" t="s">
        <v>14</v>
      </c>
      <c r="B13" s="116" t="s">
        <v>31</v>
      </c>
      <c r="C13" s="115" t="s">
        <v>168</v>
      </c>
      <c r="D13" s="115" t="s">
        <v>165</v>
      </c>
      <c r="E13" s="115" t="s">
        <v>18</v>
      </c>
      <c r="F13" s="115" t="s">
        <v>169</v>
      </c>
      <c r="G13" s="115" t="s">
        <v>20</v>
      </c>
      <c r="H13" s="115" t="s">
        <v>91</v>
      </c>
      <c r="I13" s="117">
        <v>45800</v>
      </c>
      <c r="J13" s="118"/>
      <c r="K13" s="118" t="s">
        <v>170</v>
      </c>
      <c r="L13" s="119">
        <v>45800</v>
      </c>
      <c r="M13" s="119"/>
      <c r="N13" s="120">
        <v>45807</v>
      </c>
    </row>
    <row r="14" spans="1:14">
      <c r="A14" s="313" t="s">
        <v>55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314"/>
    </row>
    <row r="15" spans="1:14">
      <c r="A15" s="82" t="s">
        <v>2</v>
      </c>
      <c r="B15" s="82" t="s">
        <v>3</v>
      </c>
      <c r="C15" s="82" t="s">
        <v>4</v>
      </c>
      <c r="D15" s="82" t="s">
        <v>5</v>
      </c>
      <c r="E15" s="82" t="s">
        <v>6</v>
      </c>
      <c r="F15" s="82" t="s">
        <v>7</v>
      </c>
      <c r="G15" s="82" t="s">
        <v>8</v>
      </c>
      <c r="H15" s="82" t="s">
        <v>9</v>
      </c>
      <c r="I15" s="82" t="s">
        <v>56</v>
      </c>
      <c r="J15" s="82"/>
      <c r="K15" s="82" t="s">
        <v>57</v>
      </c>
      <c r="L15" s="82"/>
      <c r="M15" s="82"/>
      <c r="N15" s="85" t="s">
        <v>65</v>
      </c>
    </row>
    <row r="18" spans="3:10">
      <c r="F18" s="315" t="s">
        <v>171</v>
      </c>
      <c r="G18" s="299"/>
      <c r="H18" s="299"/>
      <c r="I18" s="299"/>
      <c r="J18" s="299"/>
    </row>
    <row r="19" spans="3:10">
      <c r="F19" s="315" t="s">
        <v>172</v>
      </c>
      <c r="G19" s="299"/>
      <c r="H19" s="299"/>
      <c r="I19" s="299"/>
      <c r="J19" s="299"/>
    </row>
    <row r="20" spans="3:10">
      <c r="F20" s="315" t="s">
        <v>173</v>
      </c>
      <c r="G20" s="299"/>
      <c r="H20" s="299"/>
      <c r="I20" s="299"/>
      <c r="J20" s="299"/>
    </row>
    <row r="21" spans="3:10">
      <c r="F21" s="315" t="s">
        <v>174</v>
      </c>
      <c r="G21" s="299"/>
      <c r="H21" s="299"/>
      <c r="I21" s="299"/>
      <c r="J21" s="299"/>
    </row>
    <row r="24" spans="3:10">
      <c r="C24" s="85"/>
    </row>
  </sheetData>
  <mergeCells count="5">
    <mergeCell ref="A14:N14"/>
    <mergeCell ref="F20:J20"/>
    <mergeCell ref="F21:J21"/>
    <mergeCell ref="F19:J19"/>
    <mergeCell ref="F18:J18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J3" sqref="J3"/>
    </sheetView>
  </sheetViews>
  <sheetFormatPr defaultRowHeight="14.3"/>
  <cols>
    <col min="1" max="1" width="20.5" bestFit="1" customWidth="1"/>
    <col min="2" max="2" width="17" bestFit="1" customWidth="1"/>
    <col min="8" max="8" width="20" bestFit="1" customWidth="1"/>
    <col min="9" max="9" width="11.625" bestFit="1" customWidth="1"/>
    <col min="10" max="10" width="14" bestFit="1" customWidth="1"/>
    <col min="11" max="11" width="11.125" bestFit="1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137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45807</v>
      </c>
      <c r="J3" s="89">
        <v>157090</v>
      </c>
      <c r="K3" s="89">
        <v>157902</v>
      </c>
      <c r="L3" s="90">
        <v>45807</v>
      </c>
      <c r="M3" s="136" t="s">
        <v>175</v>
      </c>
      <c r="N3" s="59">
        <v>45814</v>
      </c>
    </row>
    <row r="4" spans="1:14">
      <c r="A4" s="86" t="s">
        <v>14</v>
      </c>
      <c r="B4" s="40" t="s">
        <v>126</v>
      </c>
      <c r="C4" s="86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45807</v>
      </c>
      <c r="J4" s="89">
        <v>16318</v>
      </c>
      <c r="K4" s="89">
        <v>16948</v>
      </c>
      <c r="L4" s="90">
        <v>45803</v>
      </c>
      <c r="M4" s="137" t="s">
        <v>177</v>
      </c>
      <c r="N4" s="59">
        <v>45809</v>
      </c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45807</v>
      </c>
      <c r="J5" s="89">
        <v>92452</v>
      </c>
      <c r="K5" s="89">
        <v>93251</v>
      </c>
      <c r="L5" s="90">
        <v>45805</v>
      </c>
      <c r="M5" s="137" t="s">
        <v>178</v>
      </c>
      <c r="N5" s="135">
        <v>45812</v>
      </c>
    </row>
    <row r="6" spans="1:14">
      <c r="A6" s="86" t="s">
        <v>14</v>
      </c>
      <c r="B6" s="40" t="s">
        <v>126</v>
      </c>
      <c r="C6" s="86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45807</v>
      </c>
      <c r="J6" s="89">
        <v>15249</v>
      </c>
      <c r="K6" s="89">
        <v>15687</v>
      </c>
      <c r="L6" s="90">
        <v>45804</v>
      </c>
      <c r="M6" s="137" t="s">
        <v>179</v>
      </c>
      <c r="N6" s="135">
        <v>45812</v>
      </c>
    </row>
    <row r="7" spans="1:14">
      <c r="A7" s="100" t="s">
        <v>14</v>
      </c>
      <c r="B7" s="41" t="s">
        <v>31</v>
      </c>
      <c r="C7" s="100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45807</v>
      </c>
      <c r="J7" s="102">
        <v>10306</v>
      </c>
      <c r="K7" s="102">
        <v>10672</v>
      </c>
      <c r="L7" s="104">
        <v>45804</v>
      </c>
      <c r="M7" s="137" t="s">
        <v>181</v>
      </c>
      <c r="N7" s="59">
        <v>45811</v>
      </c>
    </row>
    <row r="8" spans="1:14">
      <c r="A8" s="100" t="s">
        <v>14</v>
      </c>
      <c r="B8" s="41" t="s">
        <v>92</v>
      </c>
      <c r="C8" s="100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45807</v>
      </c>
      <c r="J8" s="102">
        <v>5942</v>
      </c>
      <c r="K8" s="102">
        <v>6408</v>
      </c>
      <c r="L8" s="104">
        <v>45800</v>
      </c>
      <c r="M8" s="137" t="s">
        <v>182</v>
      </c>
      <c r="N8" s="59">
        <v>45809</v>
      </c>
    </row>
    <row r="9" spans="1:14">
      <c r="A9" s="100" t="s">
        <v>96</v>
      </c>
      <c r="B9" s="41" t="s">
        <v>97</v>
      </c>
      <c r="C9" s="100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45807</v>
      </c>
      <c r="J9" s="102">
        <v>15349</v>
      </c>
      <c r="K9" s="102"/>
      <c r="L9" s="104"/>
      <c r="M9" s="137" t="s">
        <v>128</v>
      </c>
      <c r="N9" s="58" t="s">
        <v>128</v>
      </c>
    </row>
    <row r="10" spans="1:14">
      <c r="A10" s="100" t="s">
        <v>14</v>
      </c>
      <c r="B10" s="41" t="s">
        <v>164</v>
      </c>
      <c r="C10" s="100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88">
        <v>45807</v>
      </c>
      <c r="J10" s="100"/>
      <c r="K10" s="100">
        <v>8412</v>
      </c>
      <c r="L10" s="104"/>
      <c r="M10" s="137" t="s">
        <v>183</v>
      </c>
      <c r="N10" s="59">
        <v>45813</v>
      </c>
    </row>
    <row r="11" spans="1:14">
      <c r="A11" s="121" t="s">
        <v>14</v>
      </c>
      <c r="B11" s="122" t="s">
        <v>126</v>
      </c>
      <c r="C11" s="121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88">
        <v>45807</v>
      </c>
      <c r="J11" s="125">
        <v>3705</v>
      </c>
      <c r="K11" s="125">
        <v>4117</v>
      </c>
      <c r="L11" s="126">
        <v>45797</v>
      </c>
      <c r="M11" s="138" t="s">
        <v>120</v>
      </c>
      <c r="N11" s="135">
        <v>45810</v>
      </c>
    </row>
    <row r="12" spans="1:14">
      <c r="A12" s="115" t="s">
        <v>14</v>
      </c>
      <c r="B12" s="116" t="s">
        <v>31</v>
      </c>
      <c r="C12" s="115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88">
        <v>45807</v>
      </c>
      <c r="J12" s="118" t="s">
        <v>170</v>
      </c>
      <c r="K12" s="118">
        <v>91832</v>
      </c>
      <c r="L12" s="119">
        <v>45807</v>
      </c>
      <c r="M12" s="139" t="s">
        <v>183</v>
      </c>
      <c r="N12" s="59">
        <v>45814</v>
      </c>
    </row>
    <row r="13" spans="1:14">
      <c r="A13" s="313" t="s">
        <v>55</v>
      </c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</sheetData>
  <mergeCells count="1">
    <mergeCell ref="A13:N1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A13" sqref="A13"/>
    </sheetView>
  </sheetViews>
  <sheetFormatPr defaultRowHeight="14.3"/>
  <cols>
    <col min="1" max="1" width="20.5" bestFit="1" customWidth="1"/>
    <col min="2" max="2" width="17" bestFit="1" customWidth="1"/>
    <col min="8" max="8" width="20" bestFit="1" customWidth="1"/>
    <col min="9" max="9" width="14.375" bestFit="1" customWidth="1"/>
    <col min="10" max="10" width="14" bestFit="1" customWidth="1"/>
    <col min="11" max="11" width="11.125" bestFit="1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56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45814</v>
      </c>
      <c r="J3" s="89">
        <v>157902</v>
      </c>
      <c r="K3" s="89">
        <v>158784</v>
      </c>
      <c r="L3" s="90">
        <v>45807</v>
      </c>
      <c r="M3" s="140" t="s">
        <v>120</v>
      </c>
      <c r="N3" s="59">
        <v>45818</v>
      </c>
    </row>
    <row r="4" spans="1:14">
      <c r="A4" s="86" t="s">
        <v>14</v>
      </c>
      <c r="B4" s="40" t="s">
        <v>126</v>
      </c>
      <c r="C4" s="86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45814</v>
      </c>
      <c r="J4" s="89">
        <v>16948</v>
      </c>
      <c r="K4" s="89"/>
      <c r="L4" s="90">
        <v>45803</v>
      </c>
      <c r="M4" s="137" t="s">
        <v>184</v>
      </c>
      <c r="N4" s="59">
        <v>45815</v>
      </c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45814</v>
      </c>
      <c r="J5" s="89">
        <v>93251</v>
      </c>
      <c r="K5" s="89">
        <v>93996</v>
      </c>
      <c r="L5" s="90">
        <v>45805</v>
      </c>
      <c r="M5" s="140" t="s">
        <v>120</v>
      </c>
      <c r="N5" s="135">
        <v>45818</v>
      </c>
    </row>
    <row r="6" spans="1:14">
      <c r="A6" s="86" t="s">
        <v>14</v>
      </c>
      <c r="B6" s="40" t="s">
        <v>126</v>
      </c>
      <c r="C6" s="86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45814</v>
      </c>
      <c r="J6" s="89">
        <v>15687</v>
      </c>
      <c r="K6" s="89">
        <v>15987</v>
      </c>
      <c r="L6" s="90">
        <v>45804</v>
      </c>
      <c r="M6" s="140" t="s">
        <v>120</v>
      </c>
      <c r="N6" s="135">
        <v>45817</v>
      </c>
    </row>
    <row r="7" spans="1:14">
      <c r="A7" s="100" t="s">
        <v>14</v>
      </c>
      <c r="B7" s="41" t="s">
        <v>31</v>
      </c>
      <c r="C7" s="100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45814</v>
      </c>
      <c r="J7" s="102">
        <v>10672</v>
      </c>
      <c r="K7" s="102">
        <v>10734</v>
      </c>
      <c r="L7" s="104">
        <v>45804</v>
      </c>
      <c r="M7" s="140" t="s">
        <v>120</v>
      </c>
      <c r="N7" s="59">
        <v>45817</v>
      </c>
    </row>
    <row r="8" spans="1:14">
      <c r="A8" s="100" t="s">
        <v>14</v>
      </c>
      <c r="B8" s="41" t="s">
        <v>92</v>
      </c>
      <c r="C8" s="100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45814</v>
      </c>
      <c r="J8" s="102">
        <v>6408</v>
      </c>
      <c r="K8" s="102">
        <v>7320</v>
      </c>
      <c r="L8" s="104">
        <v>45808</v>
      </c>
      <c r="M8" s="137" t="s">
        <v>185</v>
      </c>
      <c r="N8" s="59">
        <v>45816</v>
      </c>
    </row>
    <row r="9" spans="1:14">
      <c r="A9" s="100" t="s">
        <v>96</v>
      </c>
      <c r="B9" s="41" t="s">
        <v>97</v>
      </c>
      <c r="C9" s="100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45814</v>
      </c>
      <c r="J9" s="102">
        <v>15349</v>
      </c>
      <c r="K9" s="102"/>
      <c r="L9" s="104"/>
      <c r="M9" s="140" t="s">
        <v>120</v>
      </c>
      <c r="N9" s="58" t="s">
        <v>128</v>
      </c>
    </row>
    <row r="10" spans="1:14">
      <c r="A10" s="100" t="s">
        <v>14</v>
      </c>
      <c r="B10" s="41" t="s">
        <v>164</v>
      </c>
      <c r="C10" s="100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88">
        <v>45814</v>
      </c>
      <c r="J10" s="100">
        <v>8412</v>
      </c>
      <c r="K10" s="100">
        <v>8665</v>
      </c>
      <c r="L10" s="104"/>
      <c r="M10" s="140" t="s">
        <v>120</v>
      </c>
      <c r="N10" s="59">
        <v>45818</v>
      </c>
    </row>
    <row r="11" spans="1:14">
      <c r="A11" s="121" t="s">
        <v>14</v>
      </c>
      <c r="B11" s="122" t="s">
        <v>126</v>
      </c>
      <c r="C11" s="121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88">
        <v>45814</v>
      </c>
      <c r="J11" s="125">
        <v>4117</v>
      </c>
      <c r="K11" s="125">
        <v>4393</v>
      </c>
      <c r="L11" s="126">
        <v>45797</v>
      </c>
      <c r="M11" s="140" t="s">
        <v>120</v>
      </c>
      <c r="N11" s="135">
        <v>45819</v>
      </c>
    </row>
    <row r="12" spans="1:14">
      <c r="A12" s="115" t="s">
        <v>14</v>
      </c>
      <c r="B12" s="116" t="s">
        <v>31</v>
      </c>
      <c r="C12" s="115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88">
        <v>45814</v>
      </c>
      <c r="J12" s="118">
        <v>91832</v>
      </c>
      <c r="K12" s="118">
        <v>92780</v>
      </c>
      <c r="L12" s="119">
        <v>45807</v>
      </c>
      <c r="M12" s="140" t="s">
        <v>120</v>
      </c>
      <c r="N12" s="59">
        <v>45819</v>
      </c>
    </row>
    <row r="13" spans="1:14">
      <c r="A13" s="313" t="s">
        <v>55</v>
      </c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</sheetData>
  <mergeCells count="1">
    <mergeCell ref="A13:N1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G5" sqref="G5"/>
    </sheetView>
  </sheetViews>
  <sheetFormatPr defaultRowHeight="14.3"/>
  <cols>
    <col min="1" max="1" width="20.5" bestFit="1" customWidth="1"/>
    <col min="6" max="6" width="14.375" bestFit="1" customWidth="1"/>
    <col min="9" max="9" width="11.625" bestFit="1" customWidth="1"/>
    <col min="11" max="11" width="9.875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10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45821</v>
      </c>
      <c r="J3" s="89">
        <v>158784</v>
      </c>
      <c r="K3" s="89">
        <v>159559</v>
      </c>
      <c r="L3" s="90">
        <v>45807</v>
      </c>
      <c r="M3" s="140" t="s">
        <v>120</v>
      </c>
      <c r="N3" s="59">
        <v>45824</v>
      </c>
    </row>
    <row r="4" spans="1:14">
      <c r="A4" s="86" t="s">
        <v>14</v>
      </c>
      <c r="B4" s="40" t="s">
        <v>126</v>
      </c>
      <c r="C4" s="86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45821</v>
      </c>
      <c r="J4" s="89">
        <v>16948</v>
      </c>
      <c r="K4" s="89">
        <v>18113</v>
      </c>
      <c r="L4" s="90">
        <v>45815</v>
      </c>
      <c r="M4" s="137" t="s">
        <v>186</v>
      </c>
      <c r="N4" s="59">
        <v>45822</v>
      </c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45821</v>
      </c>
      <c r="J5" s="89">
        <v>93996</v>
      </c>
      <c r="K5" s="89">
        <v>94867</v>
      </c>
      <c r="L5" s="119">
        <v>45821</v>
      </c>
      <c r="M5" s="137" t="s">
        <v>187</v>
      </c>
      <c r="N5" s="135">
        <v>45825</v>
      </c>
    </row>
    <row r="6" spans="1:14">
      <c r="A6" s="86" t="s">
        <v>14</v>
      </c>
      <c r="B6" s="40" t="s">
        <v>126</v>
      </c>
      <c r="C6" s="86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45821</v>
      </c>
      <c r="J6" s="89">
        <v>15987</v>
      </c>
      <c r="K6" s="89">
        <v>16491</v>
      </c>
      <c r="L6" s="90">
        <v>45804</v>
      </c>
      <c r="M6" s="140" t="s">
        <v>120</v>
      </c>
      <c r="N6" s="135">
        <v>45824</v>
      </c>
    </row>
    <row r="7" spans="1:14">
      <c r="A7" s="100" t="s">
        <v>14</v>
      </c>
      <c r="B7" s="41" t="s">
        <v>31</v>
      </c>
      <c r="C7" s="100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45821</v>
      </c>
      <c r="J7" s="102">
        <v>10734</v>
      </c>
      <c r="K7" s="102">
        <v>11459</v>
      </c>
      <c r="L7" s="104">
        <v>45804</v>
      </c>
      <c r="M7" s="140" t="s">
        <v>120</v>
      </c>
      <c r="N7" s="59">
        <v>45826</v>
      </c>
    </row>
    <row r="8" spans="1:14">
      <c r="A8" s="100" t="s">
        <v>14</v>
      </c>
      <c r="B8" s="41" t="s">
        <v>92</v>
      </c>
      <c r="C8" s="100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45821</v>
      </c>
      <c r="J8" s="102">
        <v>7320</v>
      </c>
      <c r="K8" s="102">
        <v>7788</v>
      </c>
      <c r="L8" s="104">
        <v>45815</v>
      </c>
      <c r="M8" s="137" t="s">
        <v>188</v>
      </c>
      <c r="N8" s="59">
        <v>45822</v>
      </c>
    </row>
    <row r="9" spans="1:14">
      <c r="A9" s="100" t="s">
        <v>96</v>
      </c>
      <c r="B9" s="41" t="s">
        <v>97</v>
      </c>
      <c r="C9" s="100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45821</v>
      </c>
      <c r="J9" s="102">
        <v>15349</v>
      </c>
      <c r="K9" s="102">
        <v>16468</v>
      </c>
      <c r="L9" s="104"/>
      <c r="M9" s="140" t="s">
        <v>120</v>
      </c>
      <c r="N9" s="58" t="s">
        <v>128</v>
      </c>
    </row>
    <row r="10" spans="1:14">
      <c r="A10" s="100" t="s">
        <v>14</v>
      </c>
      <c r="B10" s="41" t="s">
        <v>164</v>
      </c>
      <c r="C10" s="100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88">
        <v>45821</v>
      </c>
      <c r="J10" s="100">
        <v>8665</v>
      </c>
      <c r="K10" s="100">
        <v>9054</v>
      </c>
      <c r="L10" s="104">
        <v>45820</v>
      </c>
      <c r="M10" s="137" t="s">
        <v>189</v>
      </c>
      <c r="N10" s="59">
        <v>45826</v>
      </c>
    </row>
    <row r="11" spans="1:14">
      <c r="A11" s="121" t="s">
        <v>14</v>
      </c>
      <c r="B11" s="122" t="s">
        <v>126</v>
      </c>
      <c r="C11" s="121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88">
        <v>45821</v>
      </c>
      <c r="J11" s="125">
        <v>4393</v>
      </c>
      <c r="K11" s="125">
        <v>4507</v>
      </c>
      <c r="L11" s="126">
        <v>45820</v>
      </c>
      <c r="M11" s="137" t="s">
        <v>190</v>
      </c>
      <c r="N11" s="135">
        <v>45825</v>
      </c>
    </row>
    <row r="12" spans="1:14">
      <c r="A12" s="115" t="s">
        <v>14</v>
      </c>
      <c r="B12" s="116" t="s">
        <v>31</v>
      </c>
      <c r="C12" s="115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88">
        <v>45821</v>
      </c>
      <c r="J12" s="118">
        <v>92780</v>
      </c>
      <c r="K12" s="118">
        <v>93932</v>
      </c>
      <c r="L12" s="119">
        <v>45821</v>
      </c>
      <c r="M12" s="137" t="s">
        <v>191</v>
      </c>
      <c r="N12" s="59">
        <v>45825</v>
      </c>
    </row>
    <row r="13" spans="1:14">
      <c r="A13" s="313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  <row r="26" hidden="1"/>
  </sheetData>
  <mergeCells count="1">
    <mergeCell ref="A13:N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O6" sqref="O6"/>
    </sheetView>
  </sheetViews>
  <sheetFormatPr defaultRowHeight="14.3"/>
  <cols>
    <col min="1" max="1" width="20.5" bestFit="1" customWidth="1"/>
    <col min="2" max="2" width="17" bestFit="1" customWidth="1"/>
    <col min="9" max="9" width="11.625" bestFit="1" customWidth="1"/>
    <col min="11" max="11" width="11.125" bestFit="1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125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45826</v>
      </c>
      <c r="J3" s="89">
        <v>159559</v>
      </c>
      <c r="K3" s="89">
        <v>160125</v>
      </c>
      <c r="L3" s="90">
        <v>45825</v>
      </c>
      <c r="M3" s="137" t="s">
        <v>192</v>
      </c>
      <c r="N3" s="59">
        <v>45835</v>
      </c>
    </row>
    <row r="4" spans="1:14">
      <c r="A4" s="86" t="s">
        <v>14</v>
      </c>
      <c r="B4" s="40" t="s">
        <v>126</v>
      </c>
      <c r="C4" s="86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45826</v>
      </c>
      <c r="J4" s="89">
        <v>18113</v>
      </c>
      <c r="K4" s="89">
        <v>18286</v>
      </c>
      <c r="L4" s="90">
        <v>45822</v>
      </c>
      <c r="M4" s="137" t="s">
        <v>193</v>
      </c>
      <c r="N4" s="59">
        <v>45828</v>
      </c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45826</v>
      </c>
      <c r="J5" s="89">
        <v>94867</v>
      </c>
      <c r="K5" s="89"/>
      <c r="L5" s="119">
        <v>45821</v>
      </c>
      <c r="M5" s="140" t="s">
        <v>120</v>
      </c>
      <c r="N5" s="135">
        <v>45833</v>
      </c>
    </row>
    <row r="6" spans="1:14">
      <c r="A6" s="86" t="s">
        <v>14</v>
      </c>
      <c r="B6" s="40" t="s">
        <v>126</v>
      </c>
      <c r="C6" s="86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45826</v>
      </c>
      <c r="J6" s="89">
        <v>16491</v>
      </c>
      <c r="K6" s="89"/>
      <c r="L6" s="90">
        <v>45804</v>
      </c>
      <c r="M6" s="140" t="s">
        <v>120</v>
      </c>
      <c r="N6" s="135">
        <v>45831</v>
      </c>
    </row>
    <row r="7" spans="1:14">
      <c r="A7" s="100" t="s">
        <v>14</v>
      </c>
      <c r="B7" s="41" t="s">
        <v>31</v>
      </c>
      <c r="C7" s="100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45826</v>
      </c>
      <c r="J7" s="102">
        <v>11459</v>
      </c>
      <c r="K7" s="102">
        <v>11674</v>
      </c>
      <c r="L7" s="104">
        <v>45804</v>
      </c>
      <c r="M7" s="140" t="s">
        <v>120</v>
      </c>
      <c r="N7" s="59">
        <v>45831</v>
      </c>
    </row>
    <row r="8" spans="1:14">
      <c r="A8" s="100" t="s">
        <v>14</v>
      </c>
      <c r="B8" s="41" t="s">
        <v>92</v>
      </c>
      <c r="C8" s="100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45826</v>
      </c>
      <c r="J8" s="102">
        <v>7788</v>
      </c>
      <c r="K8" s="102"/>
      <c r="L8" s="104">
        <v>45815</v>
      </c>
      <c r="M8" s="140" t="s">
        <v>120</v>
      </c>
      <c r="N8" s="59">
        <v>45829</v>
      </c>
    </row>
    <row r="9" spans="1:14">
      <c r="A9" s="100" t="s">
        <v>96</v>
      </c>
      <c r="B9" s="41" t="s">
        <v>97</v>
      </c>
      <c r="C9" s="100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45826</v>
      </c>
      <c r="J9" s="102">
        <v>16468</v>
      </c>
      <c r="K9" s="102"/>
      <c r="L9" s="104">
        <v>45826</v>
      </c>
      <c r="M9" s="137" t="s">
        <v>194</v>
      </c>
      <c r="N9" s="58" t="s">
        <v>128</v>
      </c>
    </row>
    <row r="10" spans="1:14">
      <c r="A10" s="100" t="s">
        <v>14</v>
      </c>
      <c r="B10" s="41" t="s">
        <v>164</v>
      </c>
      <c r="C10" s="100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88">
        <v>45826</v>
      </c>
      <c r="J10" s="125">
        <v>9054</v>
      </c>
      <c r="K10" s="125">
        <v>9258</v>
      </c>
      <c r="L10" s="104">
        <v>45820</v>
      </c>
      <c r="M10" s="140" t="s">
        <v>120</v>
      </c>
      <c r="N10" s="59">
        <v>45831</v>
      </c>
    </row>
    <row r="11" spans="1:14">
      <c r="A11" s="121" t="s">
        <v>14</v>
      </c>
      <c r="B11" s="122" t="s">
        <v>126</v>
      </c>
      <c r="C11" s="121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88">
        <v>45826</v>
      </c>
      <c r="J11" s="125">
        <v>4507</v>
      </c>
      <c r="K11" s="125">
        <v>4714</v>
      </c>
      <c r="L11" s="126">
        <v>45824</v>
      </c>
      <c r="M11" s="137" t="s">
        <v>195</v>
      </c>
      <c r="N11" s="135">
        <v>45832</v>
      </c>
    </row>
    <row r="12" spans="1:14">
      <c r="A12" s="115" t="s">
        <v>14</v>
      </c>
      <c r="B12" s="116" t="s">
        <v>31</v>
      </c>
      <c r="C12" s="115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88">
        <v>45826</v>
      </c>
      <c r="J12" s="118">
        <v>93932</v>
      </c>
      <c r="K12" s="118">
        <v>94577</v>
      </c>
      <c r="L12" s="119">
        <v>45821</v>
      </c>
      <c r="M12" s="140" t="s">
        <v>120</v>
      </c>
      <c r="N12" s="59">
        <v>45832</v>
      </c>
    </row>
    <row r="13" spans="1:14">
      <c r="A13" s="313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  <row r="18" spans="6:8">
      <c r="F18" s="316" t="s">
        <v>196</v>
      </c>
      <c r="G18" s="316"/>
      <c r="H18" s="316"/>
    </row>
  </sheetData>
  <mergeCells count="2">
    <mergeCell ref="A13:N13"/>
    <mergeCell ref="F18:H18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N14" sqref="N14"/>
    </sheetView>
  </sheetViews>
  <sheetFormatPr defaultRowHeight="14.3"/>
  <cols>
    <col min="9" max="9" width="11.625" bestFit="1" customWidth="1"/>
    <col min="11" max="11" width="11.875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137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45835</v>
      </c>
      <c r="J3" s="89">
        <v>160125</v>
      </c>
      <c r="K3" s="89"/>
      <c r="L3" s="90">
        <v>45825</v>
      </c>
      <c r="M3" s="137"/>
      <c r="N3" s="59">
        <v>45838</v>
      </c>
    </row>
    <row r="4" spans="1:14">
      <c r="A4" s="86" t="s">
        <v>14</v>
      </c>
      <c r="B4" s="40" t="s">
        <v>126</v>
      </c>
      <c r="C4" s="86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45835</v>
      </c>
      <c r="J4" s="89">
        <v>18286</v>
      </c>
      <c r="K4" s="89">
        <v>19058</v>
      </c>
      <c r="L4" s="90">
        <v>45830</v>
      </c>
      <c r="M4" s="137" t="s">
        <v>197</v>
      </c>
      <c r="N4" s="59">
        <v>45836</v>
      </c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45835</v>
      </c>
      <c r="J5" s="89">
        <v>94867</v>
      </c>
      <c r="K5" s="89">
        <v>96041</v>
      </c>
      <c r="L5" s="119">
        <v>45821</v>
      </c>
      <c r="M5" s="140" t="s">
        <v>120</v>
      </c>
      <c r="N5" s="135">
        <v>45838</v>
      </c>
    </row>
    <row r="6" spans="1:14">
      <c r="A6" s="86" t="s">
        <v>14</v>
      </c>
      <c r="B6" s="40" t="s">
        <v>126</v>
      </c>
      <c r="C6" s="86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45835</v>
      </c>
      <c r="J6" s="89">
        <v>16491</v>
      </c>
      <c r="K6" s="89">
        <v>17195</v>
      </c>
      <c r="L6" s="126">
        <v>45829</v>
      </c>
      <c r="M6" s="137" t="s">
        <v>198</v>
      </c>
      <c r="N6" s="135">
        <v>45836</v>
      </c>
    </row>
    <row r="7" spans="1:14">
      <c r="A7" s="100" t="s">
        <v>14</v>
      </c>
      <c r="B7" s="41" t="s">
        <v>31</v>
      </c>
      <c r="C7" s="100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45835</v>
      </c>
      <c r="J7" s="102">
        <v>11674</v>
      </c>
      <c r="K7" s="102">
        <v>12132</v>
      </c>
      <c r="L7" s="104">
        <v>45834</v>
      </c>
      <c r="M7" s="137" t="s">
        <v>199</v>
      </c>
      <c r="N7" s="59">
        <v>45841</v>
      </c>
    </row>
    <row r="8" spans="1:14">
      <c r="A8" s="100" t="s">
        <v>14</v>
      </c>
      <c r="B8" s="41" t="s">
        <v>92</v>
      </c>
      <c r="C8" s="100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45835</v>
      </c>
      <c r="J8" s="102">
        <v>7788</v>
      </c>
      <c r="K8" s="102">
        <v>8520</v>
      </c>
      <c r="L8" s="104">
        <v>45815</v>
      </c>
      <c r="M8" s="140" t="s">
        <v>120</v>
      </c>
      <c r="N8" s="59">
        <v>45838</v>
      </c>
    </row>
    <row r="9" spans="1:14">
      <c r="A9" s="100" t="s">
        <v>96</v>
      </c>
      <c r="B9" s="41" t="s">
        <v>97</v>
      </c>
      <c r="C9" s="100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45835</v>
      </c>
      <c r="J9" s="102">
        <v>16468</v>
      </c>
      <c r="K9" s="102">
        <v>16944</v>
      </c>
      <c r="L9" s="104">
        <v>45826</v>
      </c>
      <c r="M9" s="137"/>
      <c r="N9" s="58" t="s">
        <v>128</v>
      </c>
    </row>
    <row r="10" spans="1:14">
      <c r="A10" s="100" t="s">
        <v>14</v>
      </c>
      <c r="B10" s="41" t="s">
        <v>164</v>
      </c>
      <c r="C10" s="100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88">
        <v>45835</v>
      </c>
      <c r="J10" s="125">
        <v>9258</v>
      </c>
      <c r="K10" s="125"/>
      <c r="L10" s="104">
        <v>45820</v>
      </c>
      <c r="M10" s="140" t="s">
        <v>120</v>
      </c>
      <c r="N10" s="59">
        <v>45838</v>
      </c>
    </row>
    <row r="11" spans="1:14">
      <c r="A11" s="121" t="s">
        <v>14</v>
      </c>
      <c r="B11" s="122" t="s">
        <v>126</v>
      </c>
      <c r="C11" s="121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88">
        <v>45835</v>
      </c>
      <c r="J11" s="125">
        <v>4714</v>
      </c>
      <c r="K11" s="125">
        <v>5411</v>
      </c>
      <c r="L11" s="126">
        <v>45835</v>
      </c>
      <c r="M11" s="137" t="s">
        <v>200</v>
      </c>
      <c r="N11" s="135">
        <v>45842</v>
      </c>
    </row>
    <row r="12" spans="1:14">
      <c r="A12" s="115" t="s">
        <v>14</v>
      </c>
      <c r="B12" s="116" t="s">
        <v>31</v>
      </c>
      <c r="C12" s="115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88">
        <v>45835</v>
      </c>
      <c r="J12" s="118">
        <v>94577</v>
      </c>
      <c r="K12" s="118">
        <v>95575</v>
      </c>
      <c r="L12" s="119">
        <v>45834</v>
      </c>
      <c r="M12" s="137" t="s">
        <v>201</v>
      </c>
      <c r="N12" s="59">
        <v>45840</v>
      </c>
    </row>
    <row r="13" spans="1:14">
      <c r="A13" s="313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  <row r="16" spans="1:14">
      <c r="G16" s="315" t="s">
        <v>202</v>
      </c>
      <c r="H16" s="299"/>
      <c r="I16" s="299"/>
      <c r="J16" s="299"/>
      <c r="K16" s="299"/>
    </row>
    <row r="20" spans="8:9">
      <c r="H20" s="115"/>
      <c r="I20" s="141"/>
    </row>
    <row r="21" spans="8:9">
      <c r="H21" s="115"/>
      <c r="I21" s="141"/>
    </row>
    <row r="22" spans="8:9">
      <c r="H22" s="115"/>
      <c r="I22" s="141"/>
    </row>
    <row r="23" spans="8:9">
      <c r="H23" s="115"/>
      <c r="I23" s="141"/>
    </row>
    <row r="24" spans="8:9">
      <c r="H24" s="142"/>
      <c r="I24" s="141"/>
    </row>
    <row r="25" spans="8:9">
      <c r="H25" s="142"/>
      <c r="I25" s="141"/>
    </row>
    <row r="26" spans="8:9">
      <c r="H26" s="142"/>
      <c r="I26" s="141"/>
    </row>
    <row r="27" spans="8:9">
      <c r="H27" s="115"/>
      <c r="I27" s="141"/>
    </row>
    <row r="28" spans="8:9">
      <c r="H28" s="115"/>
      <c r="I28" s="141"/>
    </row>
  </sheetData>
  <mergeCells count="2">
    <mergeCell ref="A13:N13"/>
    <mergeCell ref="G16:K16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N4" sqref="N4"/>
    </sheetView>
  </sheetViews>
  <sheetFormatPr defaultRowHeight="14.3"/>
  <cols>
    <col min="1" max="1" width="20.5" bestFit="1" customWidth="1"/>
    <col min="6" max="6" width="14.375" bestFit="1" customWidth="1"/>
    <col min="9" max="9" width="11.625" bestFit="1" customWidth="1"/>
    <col min="11" max="11" width="11.125" bestFit="1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137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45835</v>
      </c>
      <c r="J3" s="89">
        <v>160125</v>
      </c>
      <c r="K3" s="89"/>
      <c r="L3" s="90">
        <v>45825</v>
      </c>
      <c r="M3" s="137"/>
      <c r="N3" s="59">
        <v>45849</v>
      </c>
    </row>
    <row r="4" spans="1:14">
      <c r="A4" s="86" t="s">
        <v>14</v>
      </c>
      <c r="B4" s="40" t="s">
        <v>126</v>
      </c>
      <c r="C4" s="86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45835</v>
      </c>
      <c r="J4" s="89">
        <v>19058</v>
      </c>
      <c r="K4" s="89">
        <v>19461</v>
      </c>
      <c r="L4" s="90">
        <v>45830</v>
      </c>
      <c r="M4" s="140" t="s">
        <v>120</v>
      </c>
      <c r="N4" s="59">
        <v>45843</v>
      </c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45835</v>
      </c>
      <c r="J5" s="89">
        <v>96041</v>
      </c>
      <c r="K5" s="89">
        <v>96790</v>
      </c>
      <c r="L5" s="119">
        <v>45842</v>
      </c>
      <c r="M5" s="137" t="s">
        <v>194</v>
      </c>
      <c r="N5" s="135">
        <v>45848</v>
      </c>
    </row>
    <row r="6" spans="1:14">
      <c r="A6" s="86" t="s">
        <v>14</v>
      </c>
      <c r="B6" s="40" t="s">
        <v>126</v>
      </c>
      <c r="C6" s="86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45835</v>
      </c>
      <c r="J6" s="89">
        <v>17195</v>
      </c>
      <c r="K6" s="89">
        <v>17638</v>
      </c>
      <c r="L6" s="126">
        <v>45829</v>
      </c>
      <c r="M6" s="140" t="s">
        <v>120</v>
      </c>
      <c r="N6" s="135">
        <v>45844</v>
      </c>
    </row>
    <row r="7" spans="1:14">
      <c r="A7" s="100" t="s">
        <v>14</v>
      </c>
      <c r="B7" s="41" t="s">
        <v>31</v>
      </c>
      <c r="C7" s="100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45835</v>
      </c>
      <c r="J7" s="102">
        <v>12132</v>
      </c>
      <c r="K7" s="102">
        <v>13058</v>
      </c>
      <c r="L7" s="104">
        <v>45834</v>
      </c>
      <c r="M7" s="140" t="s">
        <v>120</v>
      </c>
      <c r="N7" s="59">
        <v>45845</v>
      </c>
    </row>
    <row r="8" spans="1:14">
      <c r="A8" s="100" t="s">
        <v>14</v>
      </c>
      <c r="B8" s="41" t="s">
        <v>92</v>
      </c>
      <c r="C8" s="100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45835</v>
      </c>
      <c r="J8" s="102">
        <v>8520</v>
      </c>
      <c r="K8" s="102">
        <v>9029</v>
      </c>
      <c r="L8" s="104">
        <v>45815</v>
      </c>
      <c r="M8" s="140" t="s">
        <v>120</v>
      </c>
      <c r="N8" s="59">
        <v>45847</v>
      </c>
    </row>
    <row r="9" spans="1:14">
      <c r="A9" s="100" t="s">
        <v>96</v>
      </c>
      <c r="B9" s="41" t="s">
        <v>97</v>
      </c>
      <c r="C9" s="100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45835</v>
      </c>
      <c r="J9" s="102">
        <v>16944</v>
      </c>
      <c r="K9" s="102">
        <v>17277</v>
      </c>
      <c r="L9" s="104">
        <v>45826</v>
      </c>
      <c r="M9" s="140" t="s">
        <v>120</v>
      </c>
      <c r="N9" s="58" t="s">
        <v>128</v>
      </c>
    </row>
    <row r="10" spans="1:14">
      <c r="A10" s="100" t="s">
        <v>14</v>
      </c>
      <c r="B10" s="41" t="s">
        <v>164</v>
      </c>
      <c r="C10" s="100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88">
        <v>45835</v>
      </c>
      <c r="J10" s="125">
        <v>9258</v>
      </c>
      <c r="K10" s="125">
        <v>10085</v>
      </c>
      <c r="L10" s="104">
        <v>45841</v>
      </c>
      <c r="M10" s="137" t="s">
        <v>203</v>
      </c>
      <c r="N10" s="59">
        <v>45848</v>
      </c>
    </row>
    <row r="11" spans="1:14">
      <c r="A11" s="121" t="s">
        <v>14</v>
      </c>
      <c r="B11" s="122" t="s">
        <v>126</v>
      </c>
      <c r="C11" s="121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88">
        <v>45835</v>
      </c>
      <c r="J11" s="125">
        <v>5411</v>
      </c>
      <c r="K11" s="125">
        <v>5642</v>
      </c>
      <c r="L11" s="126">
        <v>45842</v>
      </c>
      <c r="M11" s="137" t="s">
        <v>194</v>
      </c>
      <c r="N11" s="135">
        <v>45849</v>
      </c>
    </row>
    <row r="12" spans="1:14">
      <c r="A12" s="115" t="s">
        <v>14</v>
      </c>
      <c r="B12" s="116" t="s">
        <v>31</v>
      </c>
      <c r="C12" s="115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88">
        <v>45835</v>
      </c>
      <c r="J12" s="118">
        <v>95575</v>
      </c>
      <c r="K12" s="118">
        <v>95942</v>
      </c>
      <c r="L12" s="119">
        <v>45834</v>
      </c>
      <c r="M12" s="140" t="s">
        <v>120</v>
      </c>
      <c r="N12" s="59">
        <v>45854</v>
      </c>
    </row>
    <row r="13" spans="1:14">
      <c r="A13" s="313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</sheetData>
  <mergeCells count="1">
    <mergeCell ref="A13:N13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opLeftCell="B1" workbookViewId="0">
      <selection activeCell="M17" sqref="M17"/>
    </sheetView>
  </sheetViews>
  <sheetFormatPr defaultRowHeight="14.3"/>
  <cols>
    <col min="1" max="1" width="20.5" bestFit="1" customWidth="1"/>
    <col min="2" max="2" width="17" bestFit="1" customWidth="1"/>
    <col min="8" max="8" width="20" bestFit="1" customWidth="1"/>
    <col min="9" max="9" width="11.625" bestFit="1" customWidth="1"/>
    <col min="10" max="10" width="14" bestFit="1" customWidth="1"/>
    <col min="11" max="11" width="11.125" bestFit="1" customWidth="1"/>
    <col min="12" max="12" width="15.375" bestFit="1" customWidth="1"/>
    <col min="13" max="13" width="23.375" bestFit="1" customWidth="1"/>
    <col min="14" max="14" width="12.5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10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86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45835</v>
      </c>
      <c r="J3" s="89">
        <v>160125</v>
      </c>
      <c r="K3" s="89">
        <v>161302</v>
      </c>
      <c r="L3" s="90">
        <v>45846</v>
      </c>
      <c r="M3" s="137" t="s">
        <v>194</v>
      </c>
      <c r="N3" s="59">
        <v>45856</v>
      </c>
    </row>
    <row r="4" spans="1:14">
      <c r="A4" s="86" t="s">
        <v>14</v>
      </c>
      <c r="B4" s="40" t="s">
        <v>126</v>
      </c>
      <c r="C4" s="86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45835</v>
      </c>
      <c r="J4" s="89">
        <v>19461</v>
      </c>
      <c r="K4" s="89">
        <v>19689</v>
      </c>
      <c r="L4" s="90">
        <v>45844</v>
      </c>
      <c r="M4" s="137" t="s">
        <v>194</v>
      </c>
      <c r="N4" s="59">
        <v>45850</v>
      </c>
    </row>
    <row r="5" spans="1:14">
      <c r="A5" s="86" t="s">
        <v>14</v>
      </c>
      <c r="B5" s="40" t="s">
        <v>27</v>
      </c>
      <c r="C5" s="86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45835</v>
      </c>
      <c r="J5" s="89">
        <v>96790</v>
      </c>
      <c r="K5" s="89">
        <v>97782</v>
      </c>
      <c r="L5" s="119">
        <v>45842</v>
      </c>
      <c r="M5" s="140" t="s">
        <v>120</v>
      </c>
      <c r="N5" s="135">
        <v>45852</v>
      </c>
    </row>
    <row r="6" spans="1:14">
      <c r="A6" s="86" t="s">
        <v>14</v>
      </c>
      <c r="B6" s="40" t="s">
        <v>126</v>
      </c>
      <c r="C6" s="86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45835</v>
      </c>
      <c r="J6" s="89">
        <v>17638</v>
      </c>
      <c r="K6" s="89"/>
      <c r="L6" s="126">
        <v>45845</v>
      </c>
      <c r="M6" s="137" t="s">
        <v>204</v>
      </c>
      <c r="N6" s="135">
        <v>45853</v>
      </c>
    </row>
    <row r="7" spans="1:14">
      <c r="A7" s="100" t="s">
        <v>14</v>
      </c>
      <c r="B7" s="41" t="s">
        <v>31</v>
      </c>
      <c r="C7" s="100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45835</v>
      </c>
      <c r="J7" s="102">
        <v>13058</v>
      </c>
      <c r="K7" s="102">
        <v>14102</v>
      </c>
      <c r="L7" s="104">
        <v>45847</v>
      </c>
      <c r="M7" s="143" t="s">
        <v>205</v>
      </c>
      <c r="N7" s="59">
        <v>45856</v>
      </c>
    </row>
    <row r="8" spans="1:14">
      <c r="A8" s="100" t="s">
        <v>14</v>
      </c>
      <c r="B8" s="41" t="s">
        <v>92</v>
      </c>
      <c r="C8" s="100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45835</v>
      </c>
      <c r="J8" s="102">
        <v>9029</v>
      </c>
      <c r="K8" s="102">
        <v>9862</v>
      </c>
      <c r="L8" s="104">
        <v>45845</v>
      </c>
      <c r="M8" s="137" t="s">
        <v>194</v>
      </c>
      <c r="N8" s="59">
        <v>45851</v>
      </c>
    </row>
    <row r="9" spans="1:14">
      <c r="A9" s="100" t="s">
        <v>96</v>
      </c>
      <c r="B9" s="41" t="s">
        <v>97</v>
      </c>
      <c r="C9" s="100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45835</v>
      </c>
      <c r="J9" s="102">
        <v>17277</v>
      </c>
      <c r="K9" s="102"/>
      <c r="L9" s="104">
        <v>45826</v>
      </c>
      <c r="M9" s="140" t="s">
        <v>120</v>
      </c>
      <c r="N9" s="58" t="s">
        <v>128</v>
      </c>
    </row>
    <row r="10" spans="1:14">
      <c r="A10" s="100" t="s">
        <v>14</v>
      </c>
      <c r="B10" s="41" t="s">
        <v>164</v>
      </c>
      <c r="C10" s="100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88">
        <v>45835</v>
      </c>
      <c r="J10" s="125">
        <v>10085</v>
      </c>
      <c r="K10" s="125"/>
      <c r="L10" s="104">
        <v>45841</v>
      </c>
      <c r="M10" s="137" t="s">
        <v>203</v>
      </c>
      <c r="N10" s="59">
        <v>45852</v>
      </c>
    </row>
    <row r="11" spans="1:14">
      <c r="A11" s="121" t="s">
        <v>14</v>
      </c>
      <c r="B11" s="122" t="s">
        <v>126</v>
      </c>
      <c r="C11" s="121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88">
        <v>45835</v>
      </c>
      <c r="J11" s="125">
        <v>5642</v>
      </c>
      <c r="K11" s="125">
        <v>5861</v>
      </c>
      <c r="L11" s="126">
        <v>45845</v>
      </c>
      <c r="M11" s="137" t="s">
        <v>194</v>
      </c>
      <c r="N11" s="135">
        <v>45852</v>
      </c>
    </row>
    <row r="12" spans="1:14">
      <c r="A12" s="115" t="s">
        <v>14</v>
      </c>
      <c r="B12" s="116" t="s">
        <v>31</v>
      </c>
      <c r="C12" s="115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88">
        <v>45835</v>
      </c>
      <c r="J12" s="118">
        <v>95942</v>
      </c>
      <c r="K12" s="118">
        <v>96813</v>
      </c>
      <c r="L12" s="119">
        <v>45849</v>
      </c>
      <c r="M12" s="137" t="s">
        <v>194</v>
      </c>
      <c r="N12" s="59">
        <v>45856</v>
      </c>
    </row>
    <row r="13" spans="1:14">
      <c r="A13" s="313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</sheetData>
  <mergeCells count="1">
    <mergeCell ref="A13:N13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opLeftCell="B1" workbookViewId="0">
      <selection activeCell="L6" sqref="L6"/>
    </sheetView>
  </sheetViews>
  <sheetFormatPr defaultRowHeight="14.3"/>
  <cols>
    <col min="1" max="1" width="20.5" bestFit="1" customWidth="1"/>
    <col min="2" max="2" width="17" bestFit="1" customWidth="1"/>
    <col min="4" max="7" width="9.125" customWidth="1"/>
    <col min="8" max="8" width="20" customWidth="1"/>
    <col min="9" max="9" width="11.625" customWidth="1"/>
    <col min="10" max="10" width="14" customWidth="1"/>
    <col min="11" max="11" width="11.125" customWidth="1"/>
    <col min="12" max="12" width="15.375" customWidth="1"/>
    <col min="13" max="13" width="23.375" customWidth="1"/>
    <col min="14" max="14" width="12.5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125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145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45835</v>
      </c>
      <c r="J3" s="89">
        <v>161302</v>
      </c>
      <c r="K3" s="89">
        <v>162277</v>
      </c>
      <c r="L3" s="90">
        <v>45876</v>
      </c>
      <c r="M3" s="140" t="s">
        <v>206</v>
      </c>
      <c r="N3" s="59" t="s">
        <v>207</v>
      </c>
    </row>
    <row r="4" spans="1:14">
      <c r="A4" s="86" t="s">
        <v>14</v>
      </c>
      <c r="B4" s="40" t="s">
        <v>126</v>
      </c>
      <c r="C4" s="145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45835</v>
      </c>
      <c r="J4" s="89">
        <v>19689</v>
      </c>
      <c r="K4" s="89">
        <v>20051</v>
      </c>
      <c r="L4" s="90">
        <v>45844</v>
      </c>
      <c r="M4" s="140" t="s">
        <v>206</v>
      </c>
      <c r="N4" s="59" t="s">
        <v>208</v>
      </c>
    </row>
    <row r="5" spans="1:14">
      <c r="A5" s="86" t="s">
        <v>14</v>
      </c>
      <c r="B5" s="40" t="s">
        <v>27</v>
      </c>
      <c r="C5" s="145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45835</v>
      </c>
      <c r="J5" s="89">
        <v>97782</v>
      </c>
      <c r="K5" s="89">
        <v>98698</v>
      </c>
      <c r="L5" s="119" t="s">
        <v>209</v>
      </c>
      <c r="M5" s="143" t="s">
        <v>194</v>
      </c>
      <c r="N5" s="135" t="s">
        <v>210</v>
      </c>
    </row>
    <row r="6" spans="1:14">
      <c r="A6" s="86" t="s">
        <v>14</v>
      </c>
      <c r="B6" s="40" t="s">
        <v>126</v>
      </c>
      <c r="C6" s="145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45835</v>
      </c>
      <c r="J6" s="89">
        <v>17638</v>
      </c>
      <c r="K6" s="89">
        <v>18395</v>
      </c>
      <c r="L6" s="126"/>
      <c r="M6" s="140" t="s">
        <v>206</v>
      </c>
      <c r="N6" s="135" t="s">
        <v>211</v>
      </c>
    </row>
    <row r="7" spans="1:14">
      <c r="A7" s="100" t="s">
        <v>14</v>
      </c>
      <c r="B7" s="41" t="s">
        <v>31</v>
      </c>
      <c r="C7" s="145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45835</v>
      </c>
      <c r="J7" s="102">
        <v>14102</v>
      </c>
      <c r="K7" s="102">
        <v>14445</v>
      </c>
      <c r="L7" s="104">
        <v>45907</v>
      </c>
      <c r="M7" s="140" t="s">
        <v>206</v>
      </c>
      <c r="N7" s="59" t="s">
        <v>211</v>
      </c>
    </row>
    <row r="8" spans="1:14">
      <c r="A8" s="100" t="s">
        <v>14</v>
      </c>
      <c r="B8" s="41" t="s">
        <v>92</v>
      </c>
      <c r="C8" s="145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45835</v>
      </c>
      <c r="J8" s="102">
        <v>9862</v>
      </c>
      <c r="K8" s="102"/>
      <c r="L8" s="104">
        <v>45845</v>
      </c>
      <c r="M8" s="140" t="s">
        <v>206</v>
      </c>
      <c r="N8" s="59" t="s">
        <v>207</v>
      </c>
    </row>
    <row r="9" spans="1:14">
      <c r="A9" s="100" t="s">
        <v>96</v>
      </c>
      <c r="B9" s="41" t="s">
        <v>97</v>
      </c>
      <c r="C9" s="145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45835</v>
      </c>
      <c r="J9" s="102">
        <v>17277</v>
      </c>
      <c r="K9" s="102">
        <v>17907</v>
      </c>
      <c r="L9" s="104"/>
      <c r="M9" s="140" t="s">
        <v>120</v>
      </c>
      <c r="N9" s="58" t="s">
        <v>210</v>
      </c>
    </row>
    <row r="10" spans="1:14">
      <c r="A10" s="100" t="s">
        <v>14</v>
      </c>
      <c r="B10" s="41" t="s">
        <v>164</v>
      </c>
      <c r="C10" s="145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88">
        <v>45835</v>
      </c>
      <c r="J10" s="125"/>
      <c r="K10" s="125">
        <v>10625</v>
      </c>
      <c r="L10" s="104">
        <v>45841</v>
      </c>
      <c r="M10" s="140" t="s">
        <v>206</v>
      </c>
      <c r="N10" s="59" t="s">
        <v>208</v>
      </c>
    </row>
    <row r="11" spans="1:14">
      <c r="A11" s="121" t="s">
        <v>14</v>
      </c>
      <c r="B11" s="122" t="s">
        <v>126</v>
      </c>
      <c r="C11" s="146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88">
        <v>45835</v>
      </c>
      <c r="J11" s="125">
        <v>5861</v>
      </c>
      <c r="K11" s="125">
        <v>6413</v>
      </c>
      <c r="L11" s="126" t="s">
        <v>212</v>
      </c>
      <c r="M11" s="143" t="s">
        <v>194</v>
      </c>
      <c r="N11" s="135" t="s">
        <v>210</v>
      </c>
    </row>
    <row r="12" spans="1:14">
      <c r="A12" s="115" t="s">
        <v>14</v>
      </c>
      <c r="B12" s="116" t="s">
        <v>31</v>
      </c>
      <c r="C12" s="147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88">
        <v>45835</v>
      </c>
      <c r="J12" s="118">
        <v>96813</v>
      </c>
      <c r="K12" s="118">
        <v>97975</v>
      </c>
      <c r="L12" s="119">
        <v>45849</v>
      </c>
      <c r="M12" s="140" t="s">
        <v>206</v>
      </c>
      <c r="N12" s="144" t="s">
        <v>207</v>
      </c>
    </row>
    <row r="13" spans="1:14">
      <c r="A13" s="313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</sheetData>
  <mergeCells count="1">
    <mergeCell ref="A13:N13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N14" sqref="N14"/>
    </sheetView>
  </sheetViews>
  <sheetFormatPr defaultRowHeight="14.3"/>
  <cols>
    <col min="1" max="1" width="20.5" bestFit="1" customWidth="1"/>
    <col min="2" max="2" width="17" bestFit="1" customWidth="1"/>
    <col min="4" max="7" width="9.125" customWidth="1"/>
    <col min="8" max="8" width="20" customWidth="1"/>
    <col min="9" max="9" width="11.625" customWidth="1"/>
    <col min="10" max="10" width="14" customWidth="1"/>
    <col min="11" max="11" width="11.125" customWidth="1"/>
    <col min="12" max="12" width="15.375" customWidth="1"/>
    <col min="13" max="13" width="23.375" customWidth="1"/>
    <col min="14" max="14" width="12.5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137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145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45835</v>
      </c>
      <c r="J3" s="89">
        <v>162277</v>
      </c>
      <c r="K3" s="89">
        <v>162857</v>
      </c>
      <c r="L3" s="90" t="s">
        <v>210</v>
      </c>
      <c r="M3" s="143" t="s">
        <v>194</v>
      </c>
      <c r="N3" s="59" t="s">
        <v>213</v>
      </c>
    </row>
    <row r="4" spans="1:14">
      <c r="A4" s="86" t="s">
        <v>14</v>
      </c>
      <c r="B4" s="40" t="s">
        <v>126</v>
      </c>
      <c r="C4" s="145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45835</v>
      </c>
      <c r="J4" s="89">
        <v>20051</v>
      </c>
      <c r="K4" s="89"/>
      <c r="L4" s="90">
        <v>45844</v>
      </c>
      <c r="M4" s="140" t="s">
        <v>120</v>
      </c>
      <c r="N4" s="59" t="s">
        <v>214</v>
      </c>
    </row>
    <row r="5" spans="1:14">
      <c r="A5" s="86" t="s">
        <v>14</v>
      </c>
      <c r="B5" s="40" t="s">
        <v>27</v>
      </c>
      <c r="C5" s="145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45835</v>
      </c>
      <c r="J5" s="89">
        <v>98698</v>
      </c>
      <c r="K5" s="89">
        <v>99362</v>
      </c>
      <c r="L5" s="119" t="s">
        <v>209</v>
      </c>
      <c r="M5" s="140" t="s">
        <v>120</v>
      </c>
      <c r="N5" s="149" t="s">
        <v>215</v>
      </c>
    </row>
    <row r="6" spans="1:14">
      <c r="A6" s="86" t="s">
        <v>14</v>
      </c>
      <c r="B6" s="40" t="s">
        <v>126</v>
      </c>
      <c r="C6" s="145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45835</v>
      </c>
      <c r="J6" s="89">
        <v>18395</v>
      </c>
      <c r="K6" s="89">
        <v>18778</v>
      </c>
      <c r="L6" s="148"/>
      <c r="M6" s="140" t="s">
        <v>120</v>
      </c>
      <c r="N6" s="149" t="s">
        <v>214</v>
      </c>
    </row>
    <row r="7" spans="1:14">
      <c r="A7" s="100" t="s">
        <v>14</v>
      </c>
      <c r="B7" s="41" t="s">
        <v>31</v>
      </c>
      <c r="C7" s="145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45835</v>
      </c>
      <c r="J7" s="102">
        <v>14445</v>
      </c>
      <c r="K7" s="102">
        <v>14703</v>
      </c>
      <c r="L7" s="104">
        <v>45907</v>
      </c>
      <c r="M7" s="140" t="s">
        <v>120</v>
      </c>
      <c r="N7" s="149" t="s">
        <v>216</v>
      </c>
    </row>
    <row r="8" spans="1:14">
      <c r="A8" s="100" t="s">
        <v>14</v>
      </c>
      <c r="B8" s="41" t="s">
        <v>92</v>
      </c>
      <c r="C8" s="145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45835</v>
      </c>
      <c r="J8" s="102">
        <v>9862</v>
      </c>
      <c r="K8" s="102"/>
      <c r="L8" s="104">
        <v>45845</v>
      </c>
      <c r="M8" s="140" t="s">
        <v>206</v>
      </c>
      <c r="N8" s="59" t="s">
        <v>214</v>
      </c>
    </row>
    <row r="9" spans="1:14">
      <c r="A9" s="100" t="s">
        <v>96</v>
      </c>
      <c r="B9" s="41" t="s">
        <v>97</v>
      </c>
      <c r="C9" s="145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45835</v>
      </c>
      <c r="J9" s="102">
        <v>17907</v>
      </c>
      <c r="K9" s="102"/>
      <c r="L9" s="104"/>
      <c r="M9" s="140" t="s">
        <v>120</v>
      </c>
      <c r="N9" s="58" t="s">
        <v>217</v>
      </c>
    </row>
    <row r="10" spans="1:14">
      <c r="A10" s="100" t="s">
        <v>14</v>
      </c>
      <c r="B10" s="41" t="s">
        <v>164</v>
      </c>
      <c r="C10" s="145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88">
        <v>45835</v>
      </c>
      <c r="J10" s="125">
        <v>10625</v>
      </c>
      <c r="K10" s="125">
        <v>11190</v>
      </c>
      <c r="L10" s="104" t="s">
        <v>208</v>
      </c>
      <c r="M10" s="143" t="s">
        <v>194</v>
      </c>
      <c r="N10" s="59" t="s">
        <v>216</v>
      </c>
    </row>
    <row r="11" spans="1:14">
      <c r="A11" s="121" t="s">
        <v>14</v>
      </c>
      <c r="B11" s="122" t="s">
        <v>126</v>
      </c>
      <c r="C11" s="146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88">
        <v>45835</v>
      </c>
      <c r="J11" s="125">
        <v>6413</v>
      </c>
      <c r="K11" s="125">
        <v>6548</v>
      </c>
      <c r="L11" s="126" t="s">
        <v>212</v>
      </c>
      <c r="M11" s="140" t="s">
        <v>120</v>
      </c>
      <c r="N11" s="149" t="s">
        <v>213</v>
      </c>
    </row>
    <row r="12" spans="1:14">
      <c r="A12" s="115" t="s">
        <v>14</v>
      </c>
      <c r="B12" s="116" t="s">
        <v>31</v>
      </c>
      <c r="C12" s="147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88">
        <v>45835</v>
      </c>
      <c r="J12" s="118">
        <v>97975</v>
      </c>
      <c r="K12" s="125">
        <v>98772</v>
      </c>
      <c r="L12" s="119" t="s">
        <v>218</v>
      </c>
      <c r="M12" s="143" t="s">
        <v>194</v>
      </c>
      <c r="N12" s="144" t="s">
        <v>214</v>
      </c>
    </row>
    <row r="13" spans="1:14">
      <c r="A13" s="313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</sheetData>
  <mergeCells count="1">
    <mergeCell ref="A13:N13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M18" sqref="M18"/>
    </sheetView>
  </sheetViews>
  <sheetFormatPr defaultRowHeight="14.3"/>
  <cols>
    <col min="1" max="1" width="20.5" bestFit="1" customWidth="1"/>
    <col min="2" max="2" width="17" bestFit="1" customWidth="1"/>
    <col min="9" max="9" width="11.625" bestFit="1" customWidth="1"/>
    <col min="11" max="11" width="11.125" bestFit="1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56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145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45835</v>
      </c>
      <c r="J3" s="89">
        <v>162857</v>
      </c>
      <c r="K3" s="89">
        <v>163626</v>
      </c>
      <c r="L3" s="90" t="s">
        <v>210</v>
      </c>
      <c r="M3" s="140" t="s">
        <v>120</v>
      </c>
      <c r="N3" s="73">
        <v>45874</v>
      </c>
    </row>
    <row r="4" spans="1:14">
      <c r="A4" s="86" t="s">
        <v>14</v>
      </c>
      <c r="B4" s="40" t="s">
        <v>126</v>
      </c>
      <c r="C4" s="145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45835</v>
      </c>
      <c r="J4" s="89">
        <v>20051</v>
      </c>
      <c r="K4" s="89">
        <v>20862</v>
      </c>
      <c r="L4" s="90">
        <v>45844</v>
      </c>
      <c r="M4" s="140" t="s">
        <v>120</v>
      </c>
      <c r="N4" s="73">
        <v>45871</v>
      </c>
    </row>
    <row r="5" spans="1:14">
      <c r="A5" s="86" t="s">
        <v>14</v>
      </c>
      <c r="B5" s="40" t="s">
        <v>27</v>
      </c>
      <c r="C5" s="145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45835</v>
      </c>
      <c r="J5" s="89">
        <v>99362</v>
      </c>
      <c r="K5" s="89">
        <v>99873</v>
      </c>
      <c r="L5" s="119">
        <v>45855</v>
      </c>
      <c r="M5" s="140" t="s">
        <v>120</v>
      </c>
      <c r="N5" s="159">
        <v>45873</v>
      </c>
    </row>
    <row r="6" spans="1:14">
      <c r="A6" s="86" t="s">
        <v>14</v>
      </c>
      <c r="B6" s="40" t="s">
        <v>126</v>
      </c>
      <c r="C6" s="145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45835</v>
      </c>
      <c r="J6" s="89">
        <v>18778</v>
      </c>
      <c r="K6" s="89">
        <v>18957</v>
      </c>
      <c r="L6" s="148"/>
      <c r="M6" s="140" t="s">
        <v>120</v>
      </c>
      <c r="N6" s="159">
        <v>45871</v>
      </c>
    </row>
    <row r="7" spans="1:14">
      <c r="A7" s="100" t="s">
        <v>14</v>
      </c>
      <c r="B7" s="41" t="s">
        <v>31</v>
      </c>
      <c r="C7" s="145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45835</v>
      </c>
      <c r="J7" s="151">
        <v>14703</v>
      </c>
      <c r="K7" s="151">
        <v>14974</v>
      </c>
      <c r="L7" s="156">
        <v>45870</v>
      </c>
      <c r="M7" s="143" t="s">
        <v>219</v>
      </c>
      <c r="N7" s="73">
        <v>45877</v>
      </c>
    </row>
    <row r="8" spans="1:14">
      <c r="A8" s="100" t="s">
        <v>14</v>
      </c>
      <c r="B8" s="41" t="s">
        <v>92</v>
      </c>
      <c r="C8" s="145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45835</v>
      </c>
      <c r="J8" s="153">
        <v>9862</v>
      </c>
      <c r="K8" s="152">
        <v>11413</v>
      </c>
      <c r="L8" s="156">
        <v>45845</v>
      </c>
      <c r="M8" s="140" t="s">
        <v>206</v>
      </c>
      <c r="N8" s="73">
        <v>45872</v>
      </c>
    </row>
    <row r="9" spans="1:14">
      <c r="A9" s="100" t="s">
        <v>96</v>
      </c>
      <c r="B9" s="41" t="s">
        <v>97</v>
      </c>
      <c r="C9" s="145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45835</v>
      </c>
      <c r="J9" s="154">
        <v>17907</v>
      </c>
      <c r="K9" s="152">
        <v>18281</v>
      </c>
      <c r="L9" s="156"/>
      <c r="M9" s="140" t="s">
        <v>120</v>
      </c>
      <c r="N9" s="73"/>
    </row>
    <row r="10" spans="1:14">
      <c r="A10" s="100" t="s">
        <v>14</v>
      </c>
      <c r="B10" s="41" t="s">
        <v>164</v>
      </c>
      <c r="C10" s="145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150">
        <v>45835</v>
      </c>
      <c r="J10" s="155">
        <v>11190</v>
      </c>
      <c r="K10" s="118">
        <v>11414</v>
      </c>
      <c r="L10" s="156">
        <v>45870</v>
      </c>
      <c r="M10" s="143" t="s">
        <v>219</v>
      </c>
      <c r="N10" s="73">
        <v>45877</v>
      </c>
    </row>
    <row r="11" spans="1:14">
      <c r="A11" s="121" t="s">
        <v>14</v>
      </c>
      <c r="B11" s="122" t="s">
        <v>126</v>
      </c>
      <c r="C11" s="146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150">
        <v>45835</v>
      </c>
      <c r="J11" s="155">
        <v>6548</v>
      </c>
      <c r="K11" s="118"/>
      <c r="L11" s="157" t="s">
        <v>212</v>
      </c>
      <c r="M11" s="140" t="s">
        <v>120</v>
      </c>
      <c r="N11" s="159">
        <v>45876</v>
      </c>
    </row>
    <row r="12" spans="1:14">
      <c r="A12" s="115" t="s">
        <v>14</v>
      </c>
      <c r="B12" s="116" t="s">
        <v>31</v>
      </c>
      <c r="C12" s="147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150">
        <v>45835</v>
      </c>
      <c r="J12" s="155">
        <v>98772</v>
      </c>
      <c r="K12" s="118">
        <v>99676</v>
      </c>
      <c r="L12" s="158">
        <v>44770</v>
      </c>
      <c r="M12" s="143" t="s">
        <v>194</v>
      </c>
      <c r="N12" s="160">
        <v>45873</v>
      </c>
    </row>
    <row r="13" spans="1:14">
      <c r="A13" s="313"/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314"/>
    </row>
    <row r="14" spans="1:14">
      <c r="A14" s="82" t="s">
        <v>2</v>
      </c>
      <c r="B14" s="82" t="s">
        <v>3</v>
      </c>
      <c r="C14" s="82" t="s">
        <v>4</v>
      </c>
      <c r="D14" s="82" t="s">
        <v>5</v>
      </c>
      <c r="E14" s="82" t="s">
        <v>6</v>
      </c>
      <c r="F14" s="82" t="s">
        <v>7</v>
      </c>
      <c r="G14" s="82" t="s">
        <v>8</v>
      </c>
      <c r="H14" s="82" t="s">
        <v>9</v>
      </c>
      <c r="I14" s="82" t="s">
        <v>56</v>
      </c>
      <c r="J14" s="82"/>
      <c r="K14" s="82" t="s">
        <v>57</v>
      </c>
      <c r="L14" s="82"/>
      <c r="M14" s="82"/>
      <c r="N14" s="85" t="s">
        <v>65</v>
      </c>
    </row>
    <row r="19" spans="1:2">
      <c r="A19" s="82" t="s">
        <v>4</v>
      </c>
      <c r="B19" s="85" t="s">
        <v>65</v>
      </c>
    </row>
    <row r="20" spans="1:2">
      <c r="A20" s="145" t="s">
        <v>16</v>
      </c>
      <c r="B20" s="73">
        <v>45874</v>
      </c>
    </row>
    <row r="21" spans="1:2">
      <c r="A21" s="145" t="s">
        <v>23</v>
      </c>
      <c r="B21" s="73">
        <v>45871</v>
      </c>
    </row>
    <row r="22" spans="1:2">
      <c r="A22" s="145" t="s">
        <v>28</v>
      </c>
      <c r="B22" s="159">
        <v>45873</v>
      </c>
    </row>
    <row r="23" spans="1:2">
      <c r="A23" s="145" t="s">
        <v>32</v>
      </c>
      <c r="B23" s="159">
        <v>45871</v>
      </c>
    </row>
    <row r="24" spans="1:2">
      <c r="A24" s="145" t="s">
        <v>47</v>
      </c>
      <c r="B24" s="73">
        <v>45877</v>
      </c>
    </row>
    <row r="25" spans="1:2">
      <c r="A25" s="145" t="s">
        <v>49</v>
      </c>
      <c r="B25" s="73">
        <v>45872</v>
      </c>
    </row>
    <row r="26" spans="1:2">
      <c r="A26" s="145" t="s">
        <v>41</v>
      </c>
      <c r="B26" s="73">
        <v>45877</v>
      </c>
    </row>
    <row r="27" spans="1:2">
      <c r="A27" s="146" t="s">
        <v>52</v>
      </c>
      <c r="B27" s="159">
        <v>45876</v>
      </c>
    </row>
    <row r="28" spans="1:2">
      <c r="A28" s="147" t="s">
        <v>168</v>
      </c>
      <c r="B28" s="160">
        <v>45873</v>
      </c>
    </row>
  </sheetData>
  <mergeCells count="1">
    <mergeCell ref="A13:N1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L10" sqref="L10:L12"/>
    </sheetView>
  </sheetViews>
  <sheetFormatPr defaultRowHeight="14.3"/>
  <cols>
    <col min="1" max="1" width="20.5" bestFit="1" customWidth="1"/>
    <col min="8" max="8" width="20" bestFit="1" customWidth="1"/>
    <col min="9" max="9" width="11.625" bestFit="1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10</v>
      </c>
      <c r="J2" s="82" t="s">
        <v>11</v>
      </c>
      <c r="K2" s="82" t="s">
        <v>12</v>
      </c>
      <c r="L2" s="83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145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88">
        <v>45877</v>
      </c>
      <c r="J3" s="89">
        <v>163626</v>
      </c>
      <c r="K3" s="89">
        <v>164827</v>
      </c>
      <c r="L3" s="90" t="s">
        <v>210</v>
      </c>
      <c r="M3" s="140" t="s">
        <v>120</v>
      </c>
      <c r="N3" s="73">
        <v>45881</v>
      </c>
    </row>
    <row r="4" spans="1:14">
      <c r="A4" s="86" t="s">
        <v>14</v>
      </c>
      <c r="B4" s="40" t="s">
        <v>126</v>
      </c>
      <c r="C4" s="145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88">
        <v>45877</v>
      </c>
      <c r="J4" s="89">
        <v>20862</v>
      </c>
      <c r="K4" s="89"/>
      <c r="L4" s="90">
        <v>45844</v>
      </c>
      <c r="M4" s="140" t="s">
        <v>120</v>
      </c>
      <c r="N4" s="73">
        <v>45878</v>
      </c>
    </row>
    <row r="5" spans="1:14">
      <c r="A5" s="86" t="s">
        <v>14</v>
      </c>
      <c r="B5" s="40" t="s">
        <v>27</v>
      </c>
      <c r="C5" s="145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88">
        <v>45877</v>
      </c>
      <c r="J5" s="89">
        <v>99873</v>
      </c>
      <c r="K5" s="89"/>
      <c r="L5" s="119">
        <v>45876</v>
      </c>
      <c r="M5" s="137" t="s">
        <v>220</v>
      </c>
      <c r="N5" s="159">
        <v>45882</v>
      </c>
    </row>
    <row r="6" spans="1:14">
      <c r="A6" s="86" t="s">
        <v>14</v>
      </c>
      <c r="B6" s="40" t="s">
        <v>126</v>
      </c>
      <c r="C6" s="145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88">
        <v>45877</v>
      </c>
      <c r="J6" s="89">
        <v>18957</v>
      </c>
      <c r="K6" s="89">
        <v>19275</v>
      </c>
      <c r="L6" s="148">
        <v>45877</v>
      </c>
      <c r="M6" s="137" t="s">
        <v>194</v>
      </c>
      <c r="N6" s="159">
        <v>45885</v>
      </c>
    </row>
    <row r="7" spans="1:14">
      <c r="A7" s="100" t="s">
        <v>14</v>
      </c>
      <c r="B7" s="41" t="s">
        <v>31</v>
      </c>
      <c r="C7" s="145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88">
        <v>45877</v>
      </c>
      <c r="J7" s="151">
        <v>14974</v>
      </c>
      <c r="K7" s="151">
        <v>15367</v>
      </c>
      <c r="L7" s="156">
        <v>45870</v>
      </c>
      <c r="M7" s="140" t="s">
        <v>120</v>
      </c>
      <c r="N7" s="73">
        <v>45880</v>
      </c>
    </row>
    <row r="8" spans="1:14">
      <c r="A8" s="100" t="s">
        <v>14</v>
      </c>
      <c r="B8" s="41" t="s">
        <v>92</v>
      </c>
      <c r="C8" s="145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88">
        <v>45877</v>
      </c>
      <c r="J8" s="152">
        <v>11413</v>
      </c>
      <c r="K8" s="152">
        <v>11808</v>
      </c>
      <c r="L8" s="156">
        <v>45845</v>
      </c>
      <c r="M8" s="137" t="s">
        <v>194</v>
      </c>
      <c r="N8" s="73">
        <v>45882</v>
      </c>
    </row>
    <row r="9" spans="1:14">
      <c r="A9" s="100" t="s">
        <v>96</v>
      </c>
      <c r="B9" s="41" t="s">
        <v>97</v>
      </c>
      <c r="C9" s="145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88">
        <v>45877</v>
      </c>
      <c r="J9" s="152">
        <v>18281</v>
      </c>
      <c r="K9" s="152"/>
      <c r="L9" s="156"/>
      <c r="M9" s="140" t="s">
        <v>120</v>
      </c>
      <c r="N9" s="73"/>
    </row>
    <row r="10" spans="1:14">
      <c r="A10" s="100" t="s">
        <v>14</v>
      </c>
      <c r="B10" s="41" t="s">
        <v>164</v>
      </c>
      <c r="C10" s="145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88">
        <v>45877</v>
      </c>
      <c r="J10" s="118">
        <v>11414</v>
      </c>
      <c r="K10" s="118">
        <v>11850</v>
      </c>
      <c r="L10" s="156">
        <v>45870</v>
      </c>
      <c r="M10" s="140" t="s">
        <v>120</v>
      </c>
      <c r="N10" s="73">
        <v>45882</v>
      </c>
    </row>
    <row r="11" spans="1:14">
      <c r="A11" s="121" t="s">
        <v>14</v>
      </c>
      <c r="B11" s="122" t="s">
        <v>126</v>
      </c>
      <c r="C11" s="146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88">
        <v>45877</v>
      </c>
      <c r="J11" s="118"/>
      <c r="K11" s="118">
        <v>6917</v>
      </c>
      <c r="L11" s="157" t="s">
        <v>212</v>
      </c>
      <c r="M11" s="140" t="s">
        <v>120</v>
      </c>
      <c r="N11" s="159">
        <v>45881</v>
      </c>
    </row>
    <row r="12" spans="1:14">
      <c r="A12" s="115" t="s">
        <v>14</v>
      </c>
      <c r="B12" s="116" t="s">
        <v>31</v>
      </c>
      <c r="C12" s="147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88">
        <v>45877</v>
      </c>
      <c r="J12" s="118">
        <v>99676</v>
      </c>
      <c r="K12" s="118">
        <v>100762</v>
      </c>
      <c r="L12" s="158">
        <v>44770</v>
      </c>
      <c r="M12" s="140" t="s">
        <v>120</v>
      </c>
      <c r="N12" s="160">
        <v>45880</v>
      </c>
    </row>
    <row r="15" spans="1:14">
      <c r="C15" s="145"/>
      <c r="E15" s="317" t="s">
        <v>221</v>
      </c>
      <c r="F15" s="317"/>
      <c r="G15" s="317"/>
    </row>
    <row r="16" spans="1:14">
      <c r="C16" s="146"/>
    </row>
    <row r="17" spans="3:3">
      <c r="C17" s="147"/>
    </row>
    <row r="18" spans="3:3">
      <c r="C18" s="145"/>
    </row>
    <row r="19" spans="3:3">
      <c r="C19" s="145"/>
    </row>
    <row r="20" spans="3:3">
      <c r="C20" s="145"/>
    </row>
  </sheetData>
  <mergeCells count="1">
    <mergeCell ref="E15:G15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L5" sqref="L5:L8"/>
    </sheetView>
  </sheetViews>
  <sheetFormatPr defaultRowHeight="14.3"/>
  <cols>
    <col min="2" max="2" width="17" bestFit="1" customWidth="1"/>
    <col min="3" max="3" width="6.375" bestFit="1" customWidth="1"/>
    <col min="4" max="8" width="9.125" customWidth="1"/>
    <col min="9" max="9" width="11.625" customWidth="1"/>
    <col min="10" max="10" width="9.125" customWidth="1"/>
    <col min="11" max="11" width="11.125" bestFit="1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5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5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125</v>
      </c>
      <c r="J2" s="82" t="s">
        <v>11</v>
      </c>
      <c r="K2" s="82" t="s">
        <v>12</v>
      </c>
      <c r="L2" s="166" t="s">
        <v>64</v>
      </c>
      <c r="M2" s="84" t="s">
        <v>103</v>
      </c>
      <c r="N2" s="85" t="s">
        <v>65</v>
      </c>
    </row>
    <row r="3" spans="1:15">
      <c r="A3" s="86" t="s">
        <v>14</v>
      </c>
      <c r="B3" s="40" t="s">
        <v>15</v>
      </c>
      <c r="C3" s="145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161">
        <v>45883</v>
      </c>
      <c r="J3" s="89">
        <v>164827</v>
      </c>
      <c r="K3" s="163">
        <v>165513</v>
      </c>
      <c r="L3" s="119" t="s">
        <v>210</v>
      </c>
      <c r="M3" s="167" t="s">
        <v>120</v>
      </c>
      <c r="N3" s="73">
        <v>45888</v>
      </c>
    </row>
    <row r="4" spans="1:15">
      <c r="A4" s="86" t="s">
        <v>14</v>
      </c>
      <c r="B4" s="40" t="s">
        <v>126</v>
      </c>
      <c r="C4" s="145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161">
        <v>45883</v>
      </c>
      <c r="J4" s="89">
        <v>21219</v>
      </c>
      <c r="K4" s="163">
        <v>21340</v>
      </c>
      <c r="L4" s="119">
        <v>45867</v>
      </c>
      <c r="M4" s="167" t="s">
        <v>120</v>
      </c>
      <c r="N4" s="73">
        <v>45884</v>
      </c>
    </row>
    <row r="5" spans="1:15">
      <c r="A5" s="86" t="s">
        <v>14</v>
      </c>
      <c r="B5" s="40" t="s">
        <v>27</v>
      </c>
      <c r="C5" s="145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161">
        <v>45883</v>
      </c>
      <c r="J5" s="89"/>
      <c r="K5" s="163">
        <v>100649</v>
      </c>
      <c r="L5" s="119">
        <v>45876</v>
      </c>
      <c r="M5" s="167" t="s">
        <v>120</v>
      </c>
      <c r="N5" s="159">
        <v>45887</v>
      </c>
    </row>
    <row r="6" spans="1:15">
      <c r="A6" s="86" t="s">
        <v>14</v>
      </c>
      <c r="B6" s="40" t="s">
        <v>126</v>
      </c>
      <c r="C6" s="145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161">
        <v>45883</v>
      </c>
      <c r="J6" s="89">
        <v>19275</v>
      </c>
      <c r="K6" s="163">
        <v>19942</v>
      </c>
      <c r="L6" s="119">
        <v>45881</v>
      </c>
      <c r="M6" s="165" t="s">
        <v>194</v>
      </c>
      <c r="N6" s="159">
        <v>45886</v>
      </c>
      <c r="O6" t="s">
        <v>194</v>
      </c>
    </row>
    <row r="7" spans="1:15">
      <c r="A7" s="100" t="s">
        <v>14</v>
      </c>
      <c r="B7" s="41" t="s">
        <v>31</v>
      </c>
      <c r="C7" s="145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161">
        <v>45883</v>
      </c>
      <c r="J7" s="151">
        <v>15367</v>
      </c>
      <c r="K7" s="154">
        <v>15848</v>
      </c>
      <c r="L7" s="119">
        <v>45870</v>
      </c>
      <c r="M7" s="167" t="s">
        <v>120</v>
      </c>
      <c r="N7" s="73">
        <v>45887</v>
      </c>
    </row>
    <row r="8" spans="1:15">
      <c r="A8" s="100" t="s">
        <v>14</v>
      </c>
      <c r="B8" s="41" t="s">
        <v>92</v>
      </c>
      <c r="C8" s="145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161">
        <v>45883</v>
      </c>
      <c r="J8" s="152">
        <v>11808</v>
      </c>
      <c r="K8" s="164">
        <v>12290</v>
      </c>
      <c r="L8" s="119">
        <v>45877</v>
      </c>
      <c r="M8" s="167" t="s">
        <v>120</v>
      </c>
      <c r="N8" s="73">
        <v>45885</v>
      </c>
    </row>
    <row r="9" spans="1:15">
      <c r="A9" s="100" t="s">
        <v>96</v>
      </c>
      <c r="B9" s="41" t="s">
        <v>97</v>
      </c>
      <c r="C9" s="145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161">
        <v>45883</v>
      </c>
      <c r="J9" s="152"/>
      <c r="K9" s="164">
        <v>19017</v>
      </c>
      <c r="L9" s="119"/>
      <c r="M9" s="165"/>
      <c r="N9" s="73"/>
    </row>
    <row r="10" spans="1:15">
      <c r="A10" s="100" t="s">
        <v>14</v>
      </c>
      <c r="B10" s="41" t="s">
        <v>164</v>
      </c>
      <c r="C10" s="145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161">
        <v>45883</v>
      </c>
      <c r="J10" s="118">
        <v>11850</v>
      </c>
      <c r="K10" s="155">
        <v>12249</v>
      </c>
      <c r="L10" s="119">
        <v>45870</v>
      </c>
      <c r="M10" s="167" t="s">
        <v>120</v>
      </c>
      <c r="N10" s="73">
        <v>45889</v>
      </c>
    </row>
    <row r="11" spans="1:15">
      <c r="A11" s="121" t="s">
        <v>14</v>
      </c>
      <c r="B11" s="122" t="s">
        <v>126</v>
      </c>
      <c r="C11" s="146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161">
        <v>45883</v>
      </c>
      <c r="J11" s="118">
        <v>6917</v>
      </c>
      <c r="K11" s="155">
        <v>7135</v>
      </c>
      <c r="L11" s="119">
        <v>45883</v>
      </c>
      <c r="M11" s="165" t="s">
        <v>194</v>
      </c>
      <c r="N11" s="159">
        <v>45890</v>
      </c>
      <c r="O11" t="s">
        <v>194</v>
      </c>
    </row>
    <row r="12" spans="1:15">
      <c r="A12" s="115" t="s">
        <v>14</v>
      </c>
      <c r="B12" s="116" t="s">
        <v>31</v>
      </c>
      <c r="C12" s="147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161">
        <v>45883</v>
      </c>
      <c r="J12" s="118">
        <v>100762</v>
      </c>
      <c r="K12" s="155">
        <v>101440</v>
      </c>
      <c r="L12" s="162">
        <v>45880</v>
      </c>
      <c r="M12" s="165" t="s">
        <v>194</v>
      </c>
      <c r="N12" s="160">
        <v>45887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opLeftCell="A6" workbookViewId="0">
      <selection activeCell="A17" sqref="A17"/>
    </sheetView>
  </sheetViews>
  <sheetFormatPr defaultRowHeight="14.3"/>
  <cols>
    <col min="9" max="9" width="11.625" bestFit="1" customWidth="1"/>
    <col min="10" max="10" width="14" bestFit="1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77" t="s">
        <v>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1"/>
    </row>
    <row r="2" spans="1:14">
      <c r="A2" s="82" t="s">
        <v>2</v>
      </c>
      <c r="B2" s="82" t="s">
        <v>3</v>
      </c>
      <c r="C2" s="82" t="s">
        <v>4</v>
      </c>
      <c r="D2" s="82" t="s">
        <v>5</v>
      </c>
      <c r="E2" s="82" t="s">
        <v>6</v>
      </c>
      <c r="F2" s="82" t="s">
        <v>7</v>
      </c>
      <c r="G2" s="82" t="s">
        <v>8</v>
      </c>
      <c r="H2" s="82" t="s">
        <v>9</v>
      </c>
      <c r="I2" s="82" t="s">
        <v>137</v>
      </c>
      <c r="J2" s="82" t="s">
        <v>11</v>
      </c>
      <c r="K2" s="82" t="s">
        <v>12</v>
      </c>
      <c r="L2" s="166" t="s">
        <v>64</v>
      </c>
      <c r="M2" s="84" t="s">
        <v>103</v>
      </c>
      <c r="N2" s="85" t="s">
        <v>65</v>
      </c>
    </row>
    <row r="3" spans="1:14">
      <c r="A3" s="86" t="s">
        <v>14</v>
      </c>
      <c r="B3" s="40" t="s">
        <v>15</v>
      </c>
      <c r="C3" s="145" t="s">
        <v>16</v>
      </c>
      <c r="D3" s="86" t="s">
        <v>17</v>
      </c>
      <c r="E3" s="86" t="s">
        <v>18</v>
      </c>
      <c r="F3" s="86" t="s">
        <v>19</v>
      </c>
      <c r="G3" s="86" t="s">
        <v>20</v>
      </c>
      <c r="H3" s="87" t="s">
        <v>21</v>
      </c>
      <c r="I3" s="161">
        <v>45891</v>
      </c>
      <c r="J3" s="163">
        <v>165513</v>
      </c>
      <c r="K3" s="163">
        <v>166199</v>
      </c>
      <c r="L3" s="119">
        <v>45888</v>
      </c>
      <c r="M3" s="165" t="s">
        <v>194</v>
      </c>
      <c r="N3" s="73">
        <v>45895</v>
      </c>
    </row>
    <row r="4" spans="1:14">
      <c r="A4" s="86" t="s">
        <v>14</v>
      </c>
      <c r="B4" s="40" t="s">
        <v>126</v>
      </c>
      <c r="C4" s="145" t="s">
        <v>23</v>
      </c>
      <c r="D4" s="86" t="s">
        <v>24</v>
      </c>
      <c r="E4" s="86" t="s">
        <v>18</v>
      </c>
      <c r="F4" s="86" t="s">
        <v>176</v>
      </c>
      <c r="G4" s="86" t="s">
        <v>20</v>
      </c>
      <c r="H4" s="87" t="s">
        <v>66</v>
      </c>
      <c r="I4" s="161">
        <v>45891</v>
      </c>
      <c r="J4" s="163">
        <v>21340</v>
      </c>
      <c r="K4" s="163">
        <v>21835</v>
      </c>
      <c r="L4" s="119">
        <v>45891</v>
      </c>
      <c r="M4" s="165" t="s">
        <v>194</v>
      </c>
      <c r="N4" s="73">
        <v>45896</v>
      </c>
    </row>
    <row r="5" spans="1:14">
      <c r="A5" s="86" t="s">
        <v>14</v>
      </c>
      <c r="B5" s="40" t="s">
        <v>27</v>
      </c>
      <c r="C5" s="145" t="s">
        <v>28</v>
      </c>
      <c r="D5" s="86" t="s">
        <v>17</v>
      </c>
      <c r="E5" s="86" t="s">
        <v>18</v>
      </c>
      <c r="F5" s="86" t="s">
        <v>29</v>
      </c>
      <c r="G5" s="86" t="s">
        <v>20</v>
      </c>
      <c r="H5" s="87" t="s">
        <v>30</v>
      </c>
      <c r="I5" s="161">
        <v>45891</v>
      </c>
      <c r="J5" s="163">
        <v>100649</v>
      </c>
      <c r="K5" s="163">
        <v>101584</v>
      </c>
      <c r="L5" s="119">
        <v>45876</v>
      </c>
      <c r="M5" s="168" t="s">
        <v>120</v>
      </c>
      <c r="N5" s="159">
        <v>45894</v>
      </c>
    </row>
    <row r="6" spans="1:14">
      <c r="A6" s="86" t="s">
        <v>14</v>
      </c>
      <c r="B6" s="40" t="s">
        <v>126</v>
      </c>
      <c r="C6" s="145" t="s">
        <v>32</v>
      </c>
      <c r="D6" s="86" t="s">
        <v>24</v>
      </c>
      <c r="E6" s="86" t="s">
        <v>18</v>
      </c>
      <c r="F6" s="86" t="s">
        <v>139</v>
      </c>
      <c r="G6" s="86" t="s">
        <v>20</v>
      </c>
      <c r="H6" s="87" t="s">
        <v>66</v>
      </c>
      <c r="I6" s="161">
        <v>45891</v>
      </c>
      <c r="J6" s="163">
        <v>19942</v>
      </c>
      <c r="K6" s="163">
        <v>20325</v>
      </c>
      <c r="L6" s="119">
        <v>45881</v>
      </c>
      <c r="M6" s="168" t="s">
        <v>120</v>
      </c>
      <c r="N6" s="73">
        <v>45896</v>
      </c>
    </row>
    <row r="7" spans="1:14">
      <c r="A7" s="100" t="s">
        <v>14</v>
      </c>
      <c r="B7" s="41" t="s">
        <v>31</v>
      </c>
      <c r="C7" s="145" t="s">
        <v>47</v>
      </c>
      <c r="D7" s="100" t="s">
        <v>24</v>
      </c>
      <c r="E7" s="100" t="s">
        <v>18</v>
      </c>
      <c r="F7" s="100" t="s">
        <v>180</v>
      </c>
      <c r="G7" s="100" t="s">
        <v>20</v>
      </c>
      <c r="H7" s="101" t="s">
        <v>163</v>
      </c>
      <c r="I7" s="161">
        <v>45891</v>
      </c>
      <c r="J7" s="154">
        <v>15848</v>
      </c>
      <c r="K7" s="154">
        <v>16364</v>
      </c>
      <c r="L7" s="119">
        <v>45870</v>
      </c>
      <c r="M7" s="168" t="s">
        <v>120</v>
      </c>
      <c r="N7" s="73">
        <v>45897</v>
      </c>
    </row>
    <row r="8" spans="1:14">
      <c r="A8" s="100" t="s">
        <v>14</v>
      </c>
      <c r="B8" s="41" t="s">
        <v>92</v>
      </c>
      <c r="C8" s="145" t="s">
        <v>49</v>
      </c>
      <c r="D8" s="100" t="s">
        <v>24</v>
      </c>
      <c r="E8" s="100" t="s">
        <v>18</v>
      </c>
      <c r="F8" s="100" t="s">
        <v>93</v>
      </c>
      <c r="G8" s="100" t="s">
        <v>20</v>
      </c>
      <c r="H8" s="101" t="s">
        <v>94</v>
      </c>
      <c r="I8" s="161">
        <v>45891</v>
      </c>
      <c r="J8" s="164">
        <v>12290</v>
      </c>
      <c r="K8" s="164">
        <v>12845</v>
      </c>
      <c r="L8" s="119">
        <v>45891</v>
      </c>
      <c r="M8" s="165" t="s">
        <v>222</v>
      </c>
      <c r="N8" s="73">
        <v>45898</v>
      </c>
    </row>
    <row r="9" spans="1:14">
      <c r="A9" s="100" t="s">
        <v>96</v>
      </c>
      <c r="B9" s="41" t="s">
        <v>97</v>
      </c>
      <c r="C9" s="145" t="s">
        <v>98</v>
      </c>
      <c r="D9" s="100" t="s">
        <v>99</v>
      </c>
      <c r="E9" s="100" t="s">
        <v>18</v>
      </c>
      <c r="F9" s="100" t="s">
        <v>100</v>
      </c>
      <c r="G9" s="100" t="s">
        <v>20</v>
      </c>
      <c r="H9" s="101" t="s">
        <v>101</v>
      </c>
      <c r="I9" s="161">
        <v>45891</v>
      </c>
      <c r="J9" s="164">
        <v>19017</v>
      </c>
      <c r="K9" s="164"/>
      <c r="L9" s="164"/>
      <c r="M9" s="168" t="s">
        <v>120</v>
      </c>
      <c r="N9" s="73"/>
    </row>
    <row r="10" spans="1:14">
      <c r="A10" s="100" t="s">
        <v>14</v>
      </c>
      <c r="B10" s="41" t="s">
        <v>164</v>
      </c>
      <c r="C10" s="145" t="s">
        <v>41</v>
      </c>
      <c r="D10" s="100" t="s">
        <v>165</v>
      </c>
      <c r="E10" s="100" t="s">
        <v>18</v>
      </c>
      <c r="F10" s="100" t="s">
        <v>166</v>
      </c>
      <c r="G10" s="100" t="s">
        <v>20</v>
      </c>
      <c r="H10" s="101" t="s">
        <v>91</v>
      </c>
      <c r="I10" s="161">
        <v>45891</v>
      </c>
      <c r="J10" s="155">
        <v>12249</v>
      </c>
      <c r="K10" s="155"/>
      <c r="L10" s="119">
        <v>45870</v>
      </c>
      <c r="M10" s="168" t="s">
        <v>120</v>
      </c>
      <c r="N10" s="73">
        <v>45895</v>
      </c>
    </row>
    <row r="11" spans="1:14">
      <c r="A11" s="121" t="s">
        <v>14</v>
      </c>
      <c r="B11" s="122" t="s">
        <v>126</v>
      </c>
      <c r="C11" s="146" t="s">
        <v>52</v>
      </c>
      <c r="D11" s="121" t="s">
        <v>24</v>
      </c>
      <c r="E11" s="121" t="s">
        <v>18</v>
      </c>
      <c r="F11" s="121" t="s">
        <v>167</v>
      </c>
      <c r="G11" s="121" t="s">
        <v>20</v>
      </c>
      <c r="H11" s="123" t="s">
        <v>132</v>
      </c>
      <c r="I11" s="161">
        <v>45891</v>
      </c>
      <c r="J11" s="155">
        <v>7135</v>
      </c>
      <c r="K11" s="155">
        <v>7852</v>
      </c>
      <c r="L11" s="119">
        <v>45883</v>
      </c>
      <c r="M11" s="168" t="s">
        <v>120</v>
      </c>
      <c r="N11" s="159">
        <v>45895</v>
      </c>
    </row>
    <row r="12" spans="1:14">
      <c r="A12" s="115" t="s">
        <v>14</v>
      </c>
      <c r="B12" s="116" t="s">
        <v>31</v>
      </c>
      <c r="C12" s="147" t="s">
        <v>168</v>
      </c>
      <c r="D12" s="115" t="s">
        <v>165</v>
      </c>
      <c r="E12" s="115" t="s">
        <v>18</v>
      </c>
      <c r="F12" s="115" t="s">
        <v>169</v>
      </c>
      <c r="G12" s="115" t="s">
        <v>20</v>
      </c>
      <c r="H12" s="115" t="s">
        <v>91</v>
      </c>
      <c r="I12" s="161">
        <v>45891</v>
      </c>
      <c r="J12" s="155">
        <v>101440</v>
      </c>
      <c r="K12" s="155">
        <v>102307</v>
      </c>
      <c r="L12" s="162">
        <v>45880</v>
      </c>
      <c r="M12" s="168" t="s">
        <v>120</v>
      </c>
      <c r="N12" s="160">
        <v>45895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P7" sqref="P7"/>
    </sheetView>
  </sheetViews>
  <sheetFormatPr defaultRowHeight="14.3"/>
  <cols>
    <col min="2" max="2" width="17" bestFit="1" customWidth="1"/>
    <col min="11" max="11" width="11.125" bestFit="1" customWidth="1"/>
    <col min="12" max="12" width="15.375" bestFit="1" customWidth="1"/>
    <col min="13" max="13" width="23.375" bestFit="1" customWidth="1"/>
    <col min="14" max="14" width="14.375" bestFit="1" customWidth="1"/>
  </cols>
  <sheetData>
    <row r="1" spans="1:14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1"/>
      <c r="N1" s="172"/>
    </row>
    <row r="2" spans="1:14">
      <c r="A2" s="173" t="s">
        <v>2</v>
      </c>
      <c r="B2" s="173" t="s">
        <v>3</v>
      </c>
      <c r="C2" s="173" t="s">
        <v>4</v>
      </c>
      <c r="D2" s="173" t="s">
        <v>5</v>
      </c>
      <c r="E2" s="173" t="s">
        <v>6</v>
      </c>
      <c r="F2" s="173" t="s">
        <v>7</v>
      </c>
      <c r="G2" s="173" t="s">
        <v>8</v>
      </c>
      <c r="H2" s="173" t="s">
        <v>9</v>
      </c>
      <c r="I2" s="173" t="s">
        <v>137</v>
      </c>
      <c r="J2" s="173" t="s">
        <v>11</v>
      </c>
      <c r="K2" s="173" t="s">
        <v>12</v>
      </c>
      <c r="L2" s="174" t="s">
        <v>64</v>
      </c>
      <c r="M2" s="175" t="s">
        <v>103</v>
      </c>
      <c r="N2" s="176" t="s">
        <v>65</v>
      </c>
    </row>
    <row r="3" spans="1:14">
      <c r="A3" s="177" t="s">
        <v>14</v>
      </c>
      <c r="B3" s="177" t="s">
        <v>15</v>
      </c>
      <c r="C3" s="178" t="s">
        <v>16</v>
      </c>
      <c r="D3" s="177" t="s">
        <v>17</v>
      </c>
      <c r="E3" s="177" t="s">
        <v>18</v>
      </c>
      <c r="F3" s="177" t="s">
        <v>19</v>
      </c>
      <c r="G3" s="177" t="s">
        <v>20</v>
      </c>
      <c r="H3" s="179" t="s">
        <v>21</v>
      </c>
      <c r="I3" s="180" t="s">
        <v>223</v>
      </c>
      <c r="J3" s="179">
        <v>166.19900000000001</v>
      </c>
      <c r="K3" s="181">
        <v>167.05600000000001</v>
      </c>
      <c r="L3" s="182" t="s">
        <v>224</v>
      </c>
      <c r="M3" s="183"/>
      <c r="N3" s="65">
        <v>45725</v>
      </c>
    </row>
    <row r="4" spans="1:14">
      <c r="A4" s="177" t="s">
        <v>14</v>
      </c>
      <c r="B4" s="177" t="s">
        <v>126</v>
      </c>
      <c r="C4" s="178" t="s">
        <v>23</v>
      </c>
      <c r="D4" s="177" t="s">
        <v>24</v>
      </c>
      <c r="E4" s="177" t="s">
        <v>18</v>
      </c>
      <c r="F4" s="177" t="s">
        <v>176</v>
      </c>
      <c r="G4" s="177" t="s">
        <v>20</v>
      </c>
      <c r="H4" s="179" t="s">
        <v>66</v>
      </c>
      <c r="I4" s="180" t="s">
        <v>223</v>
      </c>
      <c r="J4" s="179">
        <v>21.835000000000001</v>
      </c>
      <c r="K4" s="181">
        <v>22.094000000000001</v>
      </c>
      <c r="L4" s="182" t="s">
        <v>225</v>
      </c>
      <c r="M4" s="183"/>
      <c r="N4" s="65">
        <v>45666</v>
      </c>
    </row>
    <row r="5" spans="1:14">
      <c r="A5" s="177" t="s">
        <v>14</v>
      </c>
      <c r="B5" s="177" t="s">
        <v>27</v>
      </c>
      <c r="C5" s="178" t="s">
        <v>28</v>
      </c>
      <c r="D5" s="177" t="s">
        <v>17</v>
      </c>
      <c r="E5" s="177" t="s">
        <v>18</v>
      </c>
      <c r="F5" s="177" t="s">
        <v>29</v>
      </c>
      <c r="G5" s="177" t="s">
        <v>20</v>
      </c>
      <c r="H5" s="179" t="s">
        <v>30</v>
      </c>
      <c r="I5" s="180" t="s">
        <v>223</v>
      </c>
      <c r="J5" s="179">
        <v>101.584</v>
      </c>
      <c r="K5" s="181">
        <v>102.40600000000001</v>
      </c>
      <c r="L5" s="182" t="s">
        <v>226</v>
      </c>
      <c r="M5" s="184"/>
      <c r="N5" s="185">
        <v>45756</v>
      </c>
    </row>
    <row r="6" spans="1:14">
      <c r="A6" s="177" t="s">
        <v>14</v>
      </c>
      <c r="B6" s="177" t="s">
        <v>126</v>
      </c>
      <c r="C6" s="178" t="s">
        <v>32</v>
      </c>
      <c r="D6" s="177" t="s">
        <v>24</v>
      </c>
      <c r="E6" s="177" t="s">
        <v>18</v>
      </c>
      <c r="F6" s="177" t="s">
        <v>139</v>
      </c>
      <c r="G6" s="177" t="s">
        <v>20</v>
      </c>
      <c r="H6" s="179" t="s">
        <v>66</v>
      </c>
      <c r="I6" s="180" t="s">
        <v>223</v>
      </c>
      <c r="J6" s="179">
        <v>20.324999999999999</v>
      </c>
      <c r="K6" s="181">
        <v>20.71</v>
      </c>
      <c r="L6" s="182" t="s">
        <v>225</v>
      </c>
      <c r="M6" s="184"/>
      <c r="N6" s="65">
        <v>45697</v>
      </c>
    </row>
    <row r="7" spans="1:14">
      <c r="A7" s="178" t="s">
        <v>14</v>
      </c>
      <c r="B7" s="178" t="s">
        <v>31</v>
      </c>
      <c r="C7" s="178" t="s">
        <v>47</v>
      </c>
      <c r="D7" s="178" t="s">
        <v>24</v>
      </c>
      <c r="E7" s="178" t="s">
        <v>18</v>
      </c>
      <c r="F7" s="178" t="s">
        <v>180</v>
      </c>
      <c r="G7" s="178" t="s">
        <v>20</v>
      </c>
      <c r="H7" s="181" t="s">
        <v>163</v>
      </c>
      <c r="I7" s="180" t="s">
        <v>223</v>
      </c>
      <c r="J7" s="186">
        <v>16.364000000000001</v>
      </c>
      <c r="K7" s="186">
        <v>16.658999999999999</v>
      </c>
      <c r="L7" s="182" t="s">
        <v>227</v>
      </c>
      <c r="M7" s="184"/>
      <c r="N7" s="65">
        <v>45786</v>
      </c>
    </row>
    <row r="8" spans="1:14">
      <c r="A8" s="178" t="s">
        <v>14</v>
      </c>
      <c r="B8" s="178" t="s">
        <v>92</v>
      </c>
      <c r="C8" s="178" t="s">
        <v>49</v>
      </c>
      <c r="D8" s="178" t="s">
        <v>24</v>
      </c>
      <c r="E8" s="178" t="s">
        <v>18</v>
      </c>
      <c r="F8" s="178" t="s">
        <v>93</v>
      </c>
      <c r="G8" s="178" t="s">
        <v>20</v>
      </c>
      <c r="H8" s="181" t="s">
        <v>94</v>
      </c>
      <c r="I8" s="180" t="s">
        <v>223</v>
      </c>
      <c r="J8" s="187">
        <v>12.845000000000001</v>
      </c>
      <c r="K8" s="187">
        <v>13.471</v>
      </c>
      <c r="L8" s="182" t="s">
        <v>228</v>
      </c>
      <c r="M8" s="183"/>
      <c r="N8" s="65">
        <v>45786</v>
      </c>
    </row>
    <row r="9" spans="1:14">
      <c r="A9" s="178" t="s">
        <v>96</v>
      </c>
      <c r="B9" s="178" t="s">
        <v>97</v>
      </c>
      <c r="C9" s="178" t="s">
        <v>98</v>
      </c>
      <c r="D9" s="178" t="s">
        <v>99</v>
      </c>
      <c r="E9" s="178" t="s">
        <v>18</v>
      </c>
      <c r="F9" s="178" t="s">
        <v>100</v>
      </c>
      <c r="G9" s="178" t="s">
        <v>20</v>
      </c>
      <c r="H9" s="181" t="s">
        <v>101</v>
      </c>
      <c r="I9" s="180" t="s">
        <v>223</v>
      </c>
      <c r="J9" s="187">
        <v>19.393000000000001</v>
      </c>
      <c r="K9" s="187">
        <v>19.818000000000001</v>
      </c>
      <c r="L9" s="66" t="s">
        <v>223</v>
      </c>
      <c r="M9" s="184"/>
      <c r="N9" s="65">
        <v>45697</v>
      </c>
    </row>
    <row r="10" spans="1:14">
      <c r="A10" s="178" t="s">
        <v>14</v>
      </c>
      <c r="B10" s="178" t="s">
        <v>164</v>
      </c>
      <c r="C10" s="178" t="s">
        <v>41</v>
      </c>
      <c r="D10" s="178" t="s">
        <v>165</v>
      </c>
      <c r="E10" s="178" t="s">
        <v>18</v>
      </c>
      <c r="F10" s="178" t="s">
        <v>166</v>
      </c>
      <c r="G10" s="178" t="s">
        <v>20</v>
      </c>
      <c r="H10" s="181" t="s">
        <v>91</v>
      </c>
      <c r="I10" s="180" t="s">
        <v>223</v>
      </c>
      <c r="J10" s="188">
        <v>12.249000000000001</v>
      </c>
      <c r="K10" s="187">
        <v>13.396000000000001</v>
      </c>
      <c r="L10" s="182" t="s">
        <v>224</v>
      </c>
      <c r="M10" s="184"/>
      <c r="N10" s="65">
        <v>45817</v>
      </c>
    </row>
    <row r="11" spans="1:14">
      <c r="A11" s="189" t="s">
        <v>14</v>
      </c>
      <c r="B11" s="189" t="s">
        <v>126</v>
      </c>
      <c r="C11" s="190" t="s">
        <v>52</v>
      </c>
      <c r="D11" s="189" t="s">
        <v>24</v>
      </c>
      <c r="E11" s="189" t="s">
        <v>18</v>
      </c>
      <c r="F11" s="189" t="s">
        <v>167</v>
      </c>
      <c r="G11" s="189" t="s">
        <v>20</v>
      </c>
      <c r="H11" s="191" t="s">
        <v>132</v>
      </c>
      <c r="I11" s="180" t="s">
        <v>223</v>
      </c>
      <c r="J11" s="188">
        <v>7.8520000000000003</v>
      </c>
      <c r="K11" s="187">
        <v>8.33</v>
      </c>
      <c r="L11" s="182" t="s">
        <v>224</v>
      </c>
      <c r="M11" s="184"/>
      <c r="N11" s="185">
        <v>45725</v>
      </c>
    </row>
    <row r="12" spans="1:14">
      <c r="A12" s="182" t="s">
        <v>14</v>
      </c>
      <c r="B12" s="184" t="s">
        <v>31</v>
      </c>
      <c r="C12" s="184" t="s">
        <v>168</v>
      </c>
      <c r="D12" s="182" t="s">
        <v>165</v>
      </c>
      <c r="E12" s="182" t="s">
        <v>18</v>
      </c>
      <c r="F12" s="182" t="s">
        <v>169</v>
      </c>
      <c r="G12" s="182" t="s">
        <v>20</v>
      </c>
      <c r="H12" s="182" t="s">
        <v>91</v>
      </c>
      <c r="I12" s="180" t="s">
        <v>223</v>
      </c>
      <c r="J12" s="188">
        <v>102.307</v>
      </c>
      <c r="K12" s="187">
        <v>103.38500000000001</v>
      </c>
      <c r="L12" s="184" t="s">
        <v>224</v>
      </c>
      <c r="M12" s="184"/>
      <c r="N12" s="192">
        <v>45725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N12" sqref="N12"/>
    </sheetView>
  </sheetViews>
  <sheetFormatPr defaultRowHeight="14.3"/>
  <cols>
    <col min="5" max="5" width="14.375" bestFit="1" customWidth="1"/>
    <col min="9" max="9" width="11.625" bestFit="1" customWidth="1"/>
    <col min="10" max="10" width="14" bestFit="1" customWidth="1"/>
    <col min="12" max="12" width="15.375" bestFit="1" customWidth="1"/>
    <col min="14" max="14" width="14.375" bestFit="1" customWidth="1"/>
  </cols>
  <sheetData>
    <row r="1" spans="1:14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1"/>
      <c r="N1" s="172"/>
    </row>
    <row r="2" spans="1:14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10</v>
      </c>
      <c r="J2" s="193" t="s">
        <v>11</v>
      </c>
      <c r="K2" s="193" t="s">
        <v>12</v>
      </c>
      <c r="L2" s="194" t="s">
        <v>64</v>
      </c>
      <c r="M2" s="195" t="s">
        <v>103</v>
      </c>
      <c r="N2" s="196" t="s">
        <v>65</v>
      </c>
    </row>
    <row r="3" spans="1:14">
      <c r="A3" s="197" t="s">
        <v>14</v>
      </c>
      <c r="B3" s="197" t="s">
        <v>15</v>
      </c>
      <c r="C3" s="198" t="s">
        <v>16</v>
      </c>
      <c r="D3" s="197" t="s">
        <v>17</v>
      </c>
      <c r="E3" s="197" t="s">
        <v>18</v>
      </c>
      <c r="F3" s="197" t="s">
        <v>19</v>
      </c>
      <c r="G3" s="197" t="s">
        <v>20</v>
      </c>
      <c r="H3" s="199" t="s">
        <v>21</v>
      </c>
      <c r="I3" s="161">
        <v>45912</v>
      </c>
      <c r="J3" s="201">
        <v>167919</v>
      </c>
      <c r="K3" s="201">
        <v>168775</v>
      </c>
      <c r="L3" s="141">
        <v>45904</v>
      </c>
      <c r="M3" s="183" t="s">
        <v>120</v>
      </c>
      <c r="N3" s="59">
        <v>45915</v>
      </c>
    </row>
    <row r="4" spans="1:14">
      <c r="A4" s="198" t="s">
        <v>14</v>
      </c>
      <c r="B4" s="198" t="s">
        <v>126</v>
      </c>
      <c r="C4" s="198" t="s">
        <v>23</v>
      </c>
      <c r="D4" s="198" t="s">
        <v>24</v>
      </c>
      <c r="E4" s="198" t="s">
        <v>18</v>
      </c>
      <c r="F4" s="198" t="s">
        <v>176</v>
      </c>
      <c r="G4" s="197" t="s">
        <v>20</v>
      </c>
      <c r="H4" s="199" t="s">
        <v>66</v>
      </c>
      <c r="I4" s="161">
        <v>45912</v>
      </c>
      <c r="J4" s="200">
        <v>22264</v>
      </c>
      <c r="K4" s="201">
        <v>22687</v>
      </c>
      <c r="L4" s="141">
        <v>45901</v>
      </c>
      <c r="M4" s="183" t="s">
        <v>120</v>
      </c>
      <c r="N4" s="149">
        <v>45914</v>
      </c>
    </row>
    <row r="5" spans="1:14">
      <c r="A5" s="198" t="s">
        <v>14</v>
      </c>
      <c r="B5" s="198" t="s">
        <v>27</v>
      </c>
      <c r="C5" s="198" t="s">
        <v>28</v>
      </c>
      <c r="D5" s="198" t="s">
        <v>17</v>
      </c>
      <c r="E5" s="198" t="s">
        <v>18</v>
      </c>
      <c r="F5" s="198" t="s">
        <v>29</v>
      </c>
      <c r="G5" s="197" t="s">
        <v>20</v>
      </c>
      <c r="H5" s="199" t="s">
        <v>30</v>
      </c>
      <c r="I5" s="161">
        <v>45912</v>
      </c>
      <c r="J5" s="201">
        <v>103191</v>
      </c>
      <c r="K5" s="201">
        <v>104372</v>
      </c>
      <c r="L5" s="141">
        <v>45904</v>
      </c>
      <c r="M5" s="184" t="s">
        <v>120</v>
      </c>
      <c r="N5" s="59">
        <v>45916</v>
      </c>
    </row>
    <row r="6" spans="1:14">
      <c r="A6" s="198" t="s">
        <v>14</v>
      </c>
      <c r="B6" s="198" t="s">
        <v>126</v>
      </c>
      <c r="C6" s="198" t="s">
        <v>32</v>
      </c>
      <c r="D6" s="198" t="s">
        <v>24</v>
      </c>
      <c r="E6" s="198" t="s">
        <v>18</v>
      </c>
      <c r="F6" s="198" t="s">
        <v>139</v>
      </c>
      <c r="G6" s="197" t="s">
        <v>20</v>
      </c>
      <c r="H6" s="199" t="s">
        <v>66</v>
      </c>
      <c r="I6" s="161">
        <v>45912</v>
      </c>
      <c r="J6" s="201">
        <v>21217</v>
      </c>
      <c r="K6" s="201">
        <v>21770</v>
      </c>
      <c r="L6" s="141">
        <v>45896</v>
      </c>
      <c r="M6" s="184" t="s">
        <v>120</v>
      </c>
      <c r="N6" s="59">
        <v>45913</v>
      </c>
    </row>
    <row r="7" spans="1:14">
      <c r="A7" s="198" t="s">
        <v>14</v>
      </c>
      <c r="B7" s="198" t="s">
        <v>31</v>
      </c>
      <c r="C7" s="198" t="s">
        <v>47</v>
      </c>
      <c r="D7" s="198" t="s">
        <v>24</v>
      </c>
      <c r="E7" s="198" t="s">
        <v>18</v>
      </c>
      <c r="F7" s="198" t="s">
        <v>180</v>
      </c>
      <c r="G7" s="198" t="s">
        <v>20</v>
      </c>
      <c r="H7" s="200" t="s">
        <v>163</v>
      </c>
      <c r="I7" s="161">
        <v>45912</v>
      </c>
      <c r="J7" s="205">
        <v>16813</v>
      </c>
      <c r="K7" s="205">
        <v>17196</v>
      </c>
      <c r="L7" s="141">
        <v>45901</v>
      </c>
      <c r="M7" s="184" t="s">
        <v>120</v>
      </c>
      <c r="N7" s="59">
        <v>45914</v>
      </c>
    </row>
    <row r="8" spans="1:14">
      <c r="A8" s="198" t="s">
        <v>14</v>
      </c>
      <c r="B8" s="198" t="s">
        <v>92</v>
      </c>
      <c r="C8" s="198" t="s">
        <v>49</v>
      </c>
      <c r="D8" s="198" t="s">
        <v>24</v>
      </c>
      <c r="E8" s="198" t="s">
        <v>18</v>
      </c>
      <c r="F8" s="198" t="s">
        <v>93</v>
      </c>
      <c r="G8" s="198" t="s">
        <v>20</v>
      </c>
      <c r="H8" s="200" t="s">
        <v>94</v>
      </c>
      <c r="I8" s="161">
        <v>45912</v>
      </c>
      <c r="J8" s="207">
        <v>13916</v>
      </c>
      <c r="K8" s="207">
        <v>14847</v>
      </c>
      <c r="L8" s="141">
        <v>45908</v>
      </c>
      <c r="M8" s="183" t="s">
        <v>194</v>
      </c>
      <c r="N8" s="59">
        <v>45915</v>
      </c>
    </row>
    <row r="9" spans="1:14">
      <c r="A9" s="198" t="s">
        <v>96</v>
      </c>
      <c r="B9" s="198" t="s">
        <v>97</v>
      </c>
      <c r="C9" s="198" t="s">
        <v>98</v>
      </c>
      <c r="D9" s="198" t="s">
        <v>99</v>
      </c>
      <c r="E9" s="198" t="s">
        <v>18</v>
      </c>
      <c r="F9" s="198" t="s">
        <v>100</v>
      </c>
      <c r="G9" s="198" t="s">
        <v>20</v>
      </c>
      <c r="H9" s="200" t="s">
        <v>101</v>
      </c>
      <c r="I9" s="161">
        <v>45912</v>
      </c>
      <c r="J9" s="207">
        <v>20009</v>
      </c>
      <c r="K9" s="207">
        <v>20169</v>
      </c>
      <c r="L9" s="59">
        <v>45891</v>
      </c>
      <c r="M9" s="184"/>
      <c r="N9" s="59"/>
    </row>
    <row r="10" spans="1:14">
      <c r="A10" s="198" t="s">
        <v>14</v>
      </c>
      <c r="B10" s="198" t="s">
        <v>164</v>
      </c>
      <c r="C10" s="198" t="s">
        <v>41</v>
      </c>
      <c r="D10" s="198" t="s">
        <v>165</v>
      </c>
      <c r="E10" s="198" t="s">
        <v>18</v>
      </c>
      <c r="F10" s="198" t="s">
        <v>166</v>
      </c>
      <c r="G10" s="198" t="s">
        <v>20</v>
      </c>
      <c r="H10" s="200" t="s">
        <v>91</v>
      </c>
      <c r="I10" s="161">
        <v>45912</v>
      </c>
      <c r="J10" s="207">
        <v>13907</v>
      </c>
      <c r="K10" s="207">
        <v>14370</v>
      </c>
      <c r="L10" s="141">
        <v>45895</v>
      </c>
      <c r="M10" s="184" t="s">
        <v>120</v>
      </c>
      <c r="N10" s="59">
        <v>45916</v>
      </c>
    </row>
    <row r="11" spans="1:14">
      <c r="A11" s="208" t="s">
        <v>14</v>
      </c>
      <c r="B11" s="208" t="s">
        <v>126</v>
      </c>
      <c r="C11" s="209" t="s">
        <v>52</v>
      </c>
      <c r="D11" s="208" t="s">
        <v>24</v>
      </c>
      <c r="E11" s="208" t="s">
        <v>18</v>
      </c>
      <c r="F11" s="208" t="s">
        <v>167</v>
      </c>
      <c r="G11" s="208" t="s">
        <v>20</v>
      </c>
      <c r="H11" s="210" t="s">
        <v>132</v>
      </c>
      <c r="I11" s="161">
        <v>45912</v>
      </c>
      <c r="J11" s="207">
        <v>8330</v>
      </c>
      <c r="K11" s="206">
        <v>9201</v>
      </c>
      <c r="L11" s="141">
        <v>45905</v>
      </c>
      <c r="M11" s="184" t="s">
        <v>194</v>
      </c>
      <c r="N11" s="149">
        <v>45918</v>
      </c>
    </row>
    <row r="12" spans="1:14">
      <c r="A12" s="202" t="s">
        <v>14</v>
      </c>
      <c r="B12" s="204" t="s">
        <v>31</v>
      </c>
      <c r="C12" s="204" t="s">
        <v>168</v>
      </c>
      <c r="D12" s="202" t="s">
        <v>165</v>
      </c>
      <c r="E12" s="202" t="s">
        <v>18</v>
      </c>
      <c r="F12" s="202" t="s">
        <v>169</v>
      </c>
      <c r="G12" s="202" t="s">
        <v>20</v>
      </c>
      <c r="H12" s="202" t="s">
        <v>91</v>
      </c>
      <c r="I12" s="161">
        <v>45912</v>
      </c>
      <c r="J12" s="207">
        <v>104417</v>
      </c>
      <c r="K12" s="212"/>
      <c r="L12" s="213"/>
      <c r="M12" s="214"/>
      <c r="N12" s="59">
        <v>45912</v>
      </c>
    </row>
    <row r="16" spans="1:14">
      <c r="D16" s="215"/>
      <c r="E16" s="215"/>
    </row>
    <row r="17" spans="4:10">
      <c r="D17" s="197"/>
      <c r="E17" s="197"/>
    </row>
    <row r="18" spans="4:10">
      <c r="D18" s="197"/>
      <c r="E18" s="197"/>
      <c r="I18" s="318" t="s">
        <v>229</v>
      </c>
      <c r="J18" s="318"/>
    </row>
    <row r="19" spans="4:10">
      <c r="D19" s="197"/>
      <c r="E19" s="197"/>
    </row>
    <row r="20" spans="4:10">
      <c r="D20" s="197"/>
      <c r="E20" s="197"/>
    </row>
    <row r="21" spans="4:10">
      <c r="D21" s="197"/>
      <c r="E21" s="197"/>
    </row>
    <row r="22" spans="4:10">
      <c r="D22" s="197"/>
      <c r="E22" s="197"/>
    </row>
    <row r="23" spans="4:10">
      <c r="D23" s="197"/>
      <c r="E23" s="197"/>
    </row>
    <row r="24" spans="4:10">
      <c r="D24" s="197"/>
      <c r="E24" s="197"/>
    </row>
    <row r="25" spans="4:10">
      <c r="D25" s="208"/>
      <c r="E25" s="208"/>
    </row>
    <row r="26" spans="4:10">
      <c r="D26" s="202"/>
      <c r="E26" s="202"/>
    </row>
  </sheetData>
  <mergeCells count="1">
    <mergeCell ref="I18:J18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L6" sqref="L6"/>
    </sheetView>
  </sheetViews>
  <sheetFormatPr defaultRowHeight="14.3"/>
  <cols>
    <col min="9" max="9" width="11.625" bestFit="1" customWidth="1"/>
    <col min="12" max="12" width="15.375" bestFit="1" customWidth="1"/>
    <col min="14" max="14" width="14.375" bestFit="1" customWidth="1"/>
  </cols>
  <sheetData>
    <row r="1" spans="1:14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1"/>
      <c r="N1" s="172"/>
    </row>
    <row r="2" spans="1:14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56</v>
      </c>
      <c r="J2" s="193" t="s">
        <v>11</v>
      </c>
      <c r="K2" s="193" t="s">
        <v>12</v>
      </c>
      <c r="L2" s="194" t="s">
        <v>64</v>
      </c>
      <c r="M2" s="195" t="s">
        <v>103</v>
      </c>
      <c r="N2" s="196" t="s">
        <v>65</v>
      </c>
    </row>
    <row r="3" spans="1:14">
      <c r="A3" s="197" t="s">
        <v>14</v>
      </c>
      <c r="B3" s="197" t="s">
        <v>15</v>
      </c>
      <c r="C3" s="198" t="s">
        <v>16</v>
      </c>
      <c r="D3" s="197" t="s">
        <v>17</v>
      </c>
      <c r="E3" s="197" t="s">
        <v>18</v>
      </c>
      <c r="F3" s="197" t="s">
        <v>19</v>
      </c>
      <c r="G3" s="197" t="s">
        <v>20</v>
      </c>
      <c r="H3" s="199" t="s">
        <v>21</v>
      </c>
      <c r="I3" s="161">
        <v>45905</v>
      </c>
      <c r="J3" s="201">
        <v>167056</v>
      </c>
      <c r="K3" s="201">
        <v>167919</v>
      </c>
      <c r="L3" s="141">
        <v>45905</v>
      </c>
      <c r="M3" s="183" t="s">
        <v>194</v>
      </c>
      <c r="N3" s="59">
        <v>45912</v>
      </c>
    </row>
    <row r="4" spans="1:14">
      <c r="A4" s="197" t="s">
        <v>14</v>
      </c>
      <c r="B4" s="197" t="s">
        <v>126</v>
      </c>
      <c r="C4" s="198" t="s">
        <v>23</v>
      </c>
      <c r="D4" s="197" t="s">
        <v>24</v>
      </c>
      <c r="E4" s="197" t="s">
        <v>18</v>
      </c>
      <c r="F4" s="197" t="s">
        <v>176</v>
      </c>
      <c r="G4" s="197" t="s">
        <v>20</v>
      </c>
      <c r="H4" s="199" t="s">
        <v>66</v>
      </c>
      <c r="I4" s="161">
        <v>45905</v>
      </c>
      <c r="J4" s="201">
        <v>22094</v>
      </c>
      <c r="K4" s="200">
        <v>22264</v>
      </c>
      <c r="L4" s="203">
        <v>45901</v>
      </c>
      <c r="M4" s="183" t="s">
        <v>230</v>
      </c>
      <c r="N4" s="149">
        <v>45907</v>
      </c>
    </row>
    <row r="5" spans="1:14">
      <c r="A5" s="197" t="s">
        <v>14</v>
      </c>
      <c r="B5" s="197" t="s">
        <v>27</v>
      </c>
      <c r="C5" s="198" t="s">
        <v>28</v>
      </c>
      <c r="D5" s="197" t="s">
        <v>17</v>
      </c>
      <c r="E5" s="197" t="s">
        <v>18</v>
      </c>
      <c r="F5" s="197" t="s">
        <v>29</v>
      </c>
      <c r="G5" s="197" t="s">
        <v>20</v>
      </c>
      <c r="H5" s="199" t="s">
        <v>30</v>
      </c>
      <c r="I5" s="161">
        <v>45905</v>
      </c>
      <c r="J5" s="201">
        <v>102406</v>
      </c>
      <c r="K5" s="201">
        <v>103191</v>
      </c>
      <c r="L5" s="141">
        <v>45873</v>
      </c>
      <c r="M5" s="184" t="s">
        <v>194</v>
      </c>
      <c r="N5" s="59">
        <v>45912</v>
      </c>
    </row>
    <row r="6" spans="1:14">
      <c r="A6" s="197" t="s">
        <v>14</v>
      </c>
      <c r="B6" s="197" t="s">
        <v>126</v>
      </c>
      <c r="C6" s="198" t="s">
        <v>32</v>
      </c>
      <c r="D6" s="197" t="s">
        <v>24</v>
      </c>
      <c r="E6" s="197" t="s">
        <v>18</v>
      </c>
      <c r="F6" s="197" t="s">
        <v>139</v>
      </c>
      <c r="G6" s="197" t="s">
        <v>20</v>
      </c>
      <c r="H6" s="199" t="s">
        <v>66</v>
      </c>
      <c r="I6" s="161">
        <v>45905</v>
      </c>
      <c r="J6" s="201">
        <v>20710</v>
      </c>
      <c r="K6" s="201">
        <v>21217</v>
      </c>
      <c r="L6" s="141">
        <v>45896</v>
      </c>
      <c r="M6" s="184" t="s">
        <v>120</v>
      </c>
      <c r="N6" s="59">
        <v>45906</v>
      </c>
    </row>
    <row r="7" spans="1:14">
      <c r="A7" s="198" t="s">
        <v>14</v>
      </c>
      <c r="B7" s="198" t="s">
        <v>31</v>
      </c>
      <c r="C7" s="198" t="s">
        <v>47</v>
      </c>
      <c r="D7" s="198" t="s">
        <v>24</v>
      </c>
      <c r="E7" s="198" t="s">
        <v>18</v>
      </c>
      <c r="F7" s="198" t="s">
        <v>180</v>
      </c>
      <c r="G7" s="198" t="s">
        <v>20</v>
      </c>
      <c r="H7" s="200" t="s">
        <v>163</v>
      </c>
      <c r="I7" s="161">
        <v>45905</v>
      </c>
      <c r="J7" s="205">
        <v>16659</v>
      </c>
      <c r="K7" s="205">
        <v>16813</v>
      </c>
      <c r="L7" s="141">
        <v>45901</v>
      </c>
      <c r="M7" s="184" t="s">
        <v>194</v>
      </c>
      <c r="N7" s="59">
        <v>45908</v>
      </c>
    </row>
    <row r="8" spans="1:14">
      <c r="A8" s="198" t="s">
        <v>14</v>
      </c>
      <c r="B8" s="198" t="s">
        <v>92</v>
      </c>
      <c r="C8" s="198" t="s">
        <v>49</v>
      </c>
      <c r="D8" s="198" t="s">
        <v>24</v>
      </c>
      <c r="E8" s="198" t="s">
        <v>18</v>
      </c>
      <c r="F8" s="198" t="s">
        <v>93</v>
      </c>
      <c r="G8" s="198" t="s">
        <v>20</v>
      </c>
      <c r="H8" s="200" t="s">
        <v>94</v>
      </c>
      <c r="I8" s="161">
        <v>45905</v>
      </c>
      <c r="J8" s="207">
        <v>13471</v>
      </c>
      <c r="K8" s="207">
        <v>13916</v>
      </c>
      <c r="L8" s="203">
        <v>45901</v>
      </c>
      <c r="M8" s="183" t="s">
        <v>230</v>
      </c>
      <c r="N8" s="59">
        <v>45909</v>
      </c>
    </row>
    <row r="9" spans="1:14">
      <c r="A9" s="198" t="s">
        <v>96</v>
      </c>
      <c r="B9" s="198" t="s">
        <v>97</v>
      </c>
      <c r="C9" s="198" t="s">
        <v>98</v>
      </c>
      <c r="D9" s="198" t="s">
        <v>99</v>
      </c>
      <c r="E9" s="198" t="s">
        <v>18</v>
      </c>
      <c r="F9" s="198" t="s">
        <v>100</v>
      </c>
      <c r="G9" s="198" t="s">
        <v>20</v>
      </c>
      <c r="H9" s="200" t="s">
        <v>101</v>
      </c>
      <c r="I9" s="161">
        <v>45905</v>
      </c>
      <c r="J9" s="207">
        <v>19818</v>
      </c>
      <c r="K9" s="207">
        <v>20009</v>
      </c>
      <c r="L9" s="59">
        <v>45891</v>
      </c>
      <c r="M9" s="184" t="s">
        <v>120</v>
      </c>
      <c r="N9" s="59"/>
    </row>
    <row r="10" spans="1:14">
      <c r="A10" s="198" t="s">
        <v>14</v>
      </c>
      <c r="B10" s="198" t="s">
        <v>164</v>
      </c>
      <c r="C10" s="198" t="s">
        <v>41</v>
      </c>
      <c r="D10" s="198" t="s">
        <v>165</v>
      </c>
      <c r="E10" s="198" t="s">
        <v>18</v>
      </c>
      <c r="F10" s="198" t="s">
        <v>166</v>
      </c>
      <c r="G10" s="198" t="s">
        <v>20</v>
      </c>
      <c r="H10" s="200" t="s">
        <v>91</v>
      </c>
      <c r="I10" s="161">
        <v>45905</v>
      </c>
      <c r="J10" s="207">
        <v>13396</v>
      </c>
      <c r="K10" s="207">
        <v>13907</v>
      </c>
      <c r="L10" s="141">
        <v>45895</v>
      </c>
      <c r="M10" s="184" t="s">
        <v>120</v>
      </c>
      <c r="N10" s="59">
        <v>45908</v>
      </c>
    </row>
    <row r="11" spans="1:14">
      <c r="A11" s="208" t="s">
        <v>14</v>
      </c>
      <c r="B11" s="208" t="s">
        <v>126</v>
      </c>
      <c r="C11" s="209" t="s">
        <v>52</v>
      </c>
      <c r="D11" s="208" t="s">
        <v>24</v>
      </c>
      <c r="E11" s="208" t="s">
        <v>18</v>
      </c>
      <c r="F11" s="208" t="s">
        <v>167</v>
      </c>
      <c r="G11" s="208" t="s">
        <v>20</v>
      </c>
      <c r="H11" s="210" t="s">
        <v>132</v>
      </c>
      <c r="I11" s="161">
        <v>45905</v>
      </c>
      <c r="J11" s="207">
        <v>8330</v>
      </c>
      <c r="K11" s="206"/>
      <c r="L11" s="141">
        <v>45895</v>
      </c>
      <c r="M11" s="184" t="s">
        <v>120</v>
      </c>
      <c r="N11" s="149">
        <v>45911</v>
      </c>
    </row>
    <row r="12" spans="1:14">
      <c r="A12" s="202" t="s">
        <v>14</v>
      </c>
      <c r="B12" s="204" t="s">
        <v>31</v>
      </c>
      <c r="C12" s="204" t="s">
        <v>168</v>
      </c>
      <c r="D12" s="202" t="s">
        <v>165</v>
      </c>
      <c r="E12" s="202" t="s">
        <v>18</v>
      </c>
      <c r="F12" s="202" t="s">
        <v>169</v>
      </c>
      <c r="G12" s="202" t="s">
        <v>20</v>
      </c>
      <c r="H12" s="202" t="s">
        <v>91</v>
      </c>
      <c r="I12" s="161">
        <v>45905</v>
      </c>
      <c r="J12" s="207">
        <v>103385</v>
      </c>
      <c r="K12" s="207">
        <v>104417</v>
      </c>
      <c r="L12" s="211">
        <v>45905</v>
      </c>
      <c r="M12" s="184" t="s">
        <v>194</v>
      </c>
      <c r="N12" s="59">
        <v>45912</v>
      </c>
    </row>
    <row r="16" spans="1:14">
      <c r="E16" s="47" t="s">
        <v>231</v>
      </c>
      <c r="F16" s="47"/>
      <c r="G16" s="47"/>
    </row>
    <row r="17" spans="8:9">
      <c r="H17" s="209"/>
      <c r="I17" s="149"/>
    </row>
    <row r="18" spans="8:9">
      <c r="H18" s="204"/>
      <c r="I18" s="59"/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view="pageBreakPreview" topLeftCell="B1" zoomScale="90" zoomScaleNormal="90" zoomScaleSheetLayoutView="90" workbookViewId="0">
      <selection sqref="A1:R39"/>
    </sheetView>
  </sheetViews>
  <sheetFormatPr defaultColWidth="9.125" defaultRowHeight="14.3"/>
  <cols>
    <col min="1" max="1" width="16.125" customWidth="1"/>
    <col min="2" max="5" width="15.625" customWidth="1"/>
    <col min="6" max="6" width="11.125" customWidth="1"/>
    <col min="7" max="7" width="12.875" customWidth="1"/>
    <col min="8" max="8" width="19.5" bestFit="1" customWidth="1"/>
    <col min="9" max="9" width="13.625" bestFit="1" customWidth="1"/>
    <col min="10" max="10" width="11.125" bestFit="1" customWidth="1"/>
    <col min="11" max="13" width="11.125" customWidth="1"/>
    <col min="14" max="14" width="16.375" bestFit="1" customWidth="1"/>
    <col min="15" max="15" width="16.375" customWidth="1"/>
    <col min="16" max="16" width="19.875" style="229" bestFit="1" customWidth="1"/>
    <col min="17" max="17" width="26.875" bestFit="1" customWidth="1"/>
    <col min="18" max="18" width="18.375" bestFit="1" customWidth="1"/>
  </cols>
  <sheetData>
    <row r="1" spans="1:18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228"/>
      <c r="Q1" s="171"/>
      <c r="R1" s="172"/>
    </row>
    <row r="2" spans="1:18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232</v>
      </c>
      <c r="J2" s="193" t="s">
        <v>233</v>
      </c>
      <c r="K2" s="216" t="s">
        <v>234</v>
      </c>
      <c r="L2" s="216" t="s">
        <v>235</v>
      </c>
      <c r="M2" s="216" t="s">
        <v>236</v>
      </c>
      <c r="N2" s="216" t="s">
        <v>237</v>
      </c>
      <c r="O2" s="216" t="s">
        <v>254</v>
      </c>
      <c r="P2" s="236" t="s">
        <v>238</v>
      </c>
      <c r="Q2" s="216" t="s">
        <v>239</v>
      </c>
      <c r="R2" s="216" t="s">
        <v>240</v>
      </c>
    </row>
    <row r="3" spans="1:18">
      <c r="A3" s="198" t="s">
        <v>96</v>
      </c>
      <c r="B3" s="198" t="s">
        <v>97</v>
      </c>
      <c r="C3" s="238" t="s">
        <v>98</v>
      </c>
      <c r="D3" s="198" t="s">
        <v>99</v>
      </c>
      <c r="E3" s="198" t="s">
        <v>18</v>
      </c>
      <c r="F3" s="198" t="s">
        <v>100</v>
      </c>
      <c r="G3" s="198" t="s">
        <v>20</v>
      </c>
      <c r="H3" s="249"/>
      <c r="I3" s="244">
        <v>45933</v>
      </c>
      <c r="J3" s="237">
        <v>19800</v>
      </c>
      <c r="K3" s="237">
        <v>19800</v>
      </c>
      <c r="L3" s="237">
        <v>20411</v>
      </c>
      <c r="M3" s="207">
        <v>21000</v>
      </c>
      <c r="N3" s="207" t="s">
        <v>252</v>
      </c>
      <c r="O3" s="207" t="s">
        <v>252</v>
      </c>
      <c r="P3" s="242">
        <v>45947</v>
      </c>
      <c r="Q3" s="233" t="s">
        <v>241</v>
      </c>
      <c r="R3" s="240"/>
    </row>
    <row r="4" spans="1:18">
      <c r="A4" s="198" t="s">
        <v>14</v>
      </c>
      <c r="B4" s="198" t="s">
        <v>126</v>
      </c>
      <c r="C4" s="238" t="s">
        <v>32</v>
      </c>
      <c r="D4" s="198" t="s">
        <v>24</v>
      </c>
      <c r="E4" s="198" t="s">
        <v>18</v>
      </c>
      <c r="F4" s="198" t="s">
        <v>139</v>
      </c>
      <c r="G4" s="197" t="s">
        <v>20</v>
      </c>
      <c r="H4" s="249"/>
      <c r="I4" s="244">
        <v>45933</v>
      </c>
      <c r="J4" s="201">
        <v>22281</v>
      </c>
      <c r="K4" s="237">
        <v>22820</v>
      </c>
      <c r="L4" s="207">
        <v>23289</v>
      </c>
      <c r="M4" s="207">
        <v>24183</v>
      </c>
      <c r="N4" s="207">
        <v>24769</v>
      </c>
      <c r="O4" s="207">
        <v>25589</v>
      </c>
      <c r="P4" s="242">
        <v>45939</v>
      </c>
      <c r="Q4" s="233" t="s">
        <v>241</v>
      </c>
      <c r="R4" s="241">
        <v>45939</v>
      </c>
    </row>
    <row r="5" spans="1:18">
      <c r="A5" s="198" t="s">
        <v>14</v>
      </c>
      <c r="B5" s="198" t="s">
        <v>92</v>
      </c>
      <c r="C5" s="235" t="s">
        <v>49</v>
      </c>
      <c r="D5" s="198" t="s">
        <v>24</v>
      </c>
      <c r="E5" s="198" t="s">
        <v>18</v>
      </c>
      <c r="F5" s="198" t="s">
        <v>93</v>
      </c>
      <c r="G5" s="198" t="s">
        <v>20</v>
      </c>
      <c r="H5" s="249"/>
      <c r="I5" s="244">
        <v>45933</v>
      </c>
      <c r="J5" s="201">
        <v>15856</v>
      </c>
      <c r="K5" s="207">
        <v>16500</v>
      </c>
      <c r="L5" s="207">
        <v>16586</v>
      </c>
      <c r="M5" s="207">
        <v>17241</v>
      </c>
      <c r="N5" s="207">
        <v>18035</v>
      </c>
      <c r="O5" s="207">
        <v>18849</v>
      </c>
      <c r="P5" s="242">
        <v>45955</v>
      </c>
      <c r="Q5" s="233" t="s">
        <v>241</v>
      </c>
      <c r="R5" s="241">
        <v>45962</v>
      </c>
    </row>
    <row r="6" spans="1:18">
      <c r="A6" s="197" t="s">
        <v>14</v>
      </c>
      <c r="B6" s="197" t="s">
        <v>15</v>
      </c>
      <c r="C6" s="238" t="s">
        <v>16</v>
      </c>
      <c r="D6" s="197" t="s">
        <v>165</v>
      </c>
      <c r="E6" s="197" t="s">
        <v>18</v>
      </c>
      <c r="F6" s="197" t="s">
        <v>19</v>
      </c>
      <c r="G6" s="197" t="s">
        <v>20</v>
      </c>
      <c r="H6" s="245" t="s">
        <v>242</v>
      </c>
      <c r="I6" s="244">
        <v>45933</v>
      </c>
      <c r="J6" s="201">
        <v>170693</v>
      </c>
      <c r="K6" s="207">
        <v>171497</v>
      </c>
      <c r="L6" s="207">
        <v>171843</v>
      </c>
      <c r="M6" s="207">
        <v>172488</v>
      </c>
      <c r="N6" s="207">
        <v>173051</v>
      </c>
      <c r="O6" s="207" t="s">
        <v>58</v>
      </c>
      <c r="P6" s="242">
        <v>45954</v>
      </c>
      <c r="Q6" s="233" t="s">
        <v>241</v>
      </c>
      <c r="R6" s="241">
        <v>45961</v>
      </c>
    </row>
    <row r="7" spans="1:18">
      <c r="A7" s="198" t="s">
        <v>14</v>
      </c>
      <c r="B7" s="198" t="s">
        <v>126</v>
      </c>
      <c r="C7" s="238" t="s">
        <v>23</v>
      </c>
      <c r="D7" s="198" t="s">
        <v>24</v>
      </c>
      <c r="E7" s="198" t="s">
        <v>18</v>
      </c>
      <c r="F7" s="198" t="s">
        <v>176</v>
      </c>
      <c r="G7" s="197" t="s">
        <v>20</v>
      </c>
      <c r="H7" s="245" t="s">
        <v>243</v>
      </c>
      <c r="I7" s="244">
        <v>45933</v>
      </c>
      <c r="J7" s="205">
        <v>23590</v>
      </c>
      <c r="K7" s="207">
        <v>23933</v>
      </c>
      <c r="L7" s="237">
        <v>24473</v>
      </c>
      <c r="M7" s="207">
        <v>24859</v>
      </c>
      <c r="N7" s="207" t="s">
        <v>253</v>
      </c>
      <c r="O7" s="207">
        <v>25610</v>
      </c>
      <c r="P7" s="242">
        <v>45961</v>
      </c>
      <c r="Q7" s="233" t="s">
        <v>241</v>
      </c>
      <c r="R7" s="241">
        <v>45968</v>
      </c>
    </row>
    <row r="8" spans="1:18">
      <c r="A8" s="198" t="s">
        <v>14</v>
      </c>
      <c r="B8" s="198" t="s">
        <v>27</v>
      </c>
      <c r="C8" s="198" t="s">
        <v>28</v>
      </c>
      <c r="D8" s="198" t="s">
        <v>24</v>
      </c>
      <c r="E8" s="198" t="s">
        <v>18</v>
      </c>
      <c r="F8" s="198" t="s">
        <v>29</v>
      </c>
      <c r="G8" s="197" t="s">
        <v>20</v>
      </c>
      <c r="H8" s="245" t="s">
        <v>244</v>
      </c>
      <c r="I8" s="244">
        <v>45933</v>
      </c>
      <c r="J8" s="207">
        <v>105942</v>
      </c>
      <c r="K8" s="207">
        <v>106810</v>
      </c>
      <c r="L8" s="207">
        <v>107554</v>
      </c>
      <c r="M8" s="207">
        <v>108427</v>
      </c>
      <c r="N8" s="207">
        <v>109124</v>
      </c>
      <c r="O8" s="207">
        <v>109814</v>
      </c>
      <c r="P8" s="240">
        <v>45947</v>
      </c>
      <c r="Q8" s="233" t="s">
        <v>241</v>
      </c>
      <c r="R8" s="240">
        <v>45947</v>
      </c>
    </row>
    <row r="9" spans="1:18">
      <c r="A9" s="197" t="s">
        <v>14</v>
      </c>
      <c r="B9" s="197" t="s">
        <v>126</v>
      </c>
      <c r="C9" s="238" t="s">
        <v>52</v>
      </c>
      <c r="D9" s="197" t="s">
        <v>24</v>
      </c>
      <c r="E9" s="197" t="s">
        <v>18</v>
      </c>
      <c r="F9" s="197" t="s">
        <v>167</v>
      </c>
      <c r="G9" s="197" t="s">
        <v>20</v>
      </c>
      <c r="H9" s="248" t="s">
        <v>245</v>
      </c>
      <c r="I9" s="244">
        <v>45933</v>
      </c>
      <c r="J9" s="207">
        <v>10129</v>
      </c>
      <c r="K9" s="207">
        <v>10268</v>
      </c>
      <c r="L9" s="237">
        <v>10642</v>
      </c>
      <c r="M9" s="207">
        <v>11514</v>
      </c>
      <c r="N9" s="207">
        <v>12366</v>
      </c>
      <c r="O9" s="207">
        <v>12954</v>
      </c>
      <c r="P9" s="243">
        <v>45961</v>
      </c>
      <c r="Q9" s="233" t="s">
        <v>241</v>
      </c>
      <c r="R9" s="240">
        <v>45968</v>
      </c>
    </row>
    <row r="10" spans="1:18">
      <c r="A10" s="198" t="s">
        <v>14</v>
      </c>
      <c r="B10" s="198" t="s">
        <v>164</v>
      </c>
      <c r="C10" s="198" t="s">
        <v>41</v>
      </c>
      <c r="D10" s="198" t="s">
        <v>24</v>
      </c>
      <c r="E10" s="198" t="s">
        <v>18</v>
      </c>
      <c r="F10" s="198" t="s">
        <v>166</v>
      </c>
      <c r="G10" s="198" t="s">
        <v>20</v>
      </c>
      <c r="H10" s="249"/>
      <c r="I10" s="244">
        <v>45933</v>
      </c>
      <c r="J10" s="207">
        <v>15563</v>
      </c>
      <c r="K10" s="234">
        <v>16297</v>
      </c>
      <c r="L10" s="207">
        <v>17042</v>
      </c>
      <c r="M10" s="207">
        <v>17753</v>
      </c>
      <c r="N10" s="207">
        <v>18567</v>
      </c>
      <c r="O10" s="207">
        <v>19333</v>
      </c>
      <c r="P10" s="242">
        <v>45957</v>
      </c>
      <c r="Q10" s="233" t="s">
        <v>241</v>
      </c>
      <c r="R10" s="240">
        <v>45964</v>
      </c>
    </row>
    <row r="11" spans="1:18">
      <c r="A11" s="209" t="s">
        <v>14</v>
      </c>
      <c r="B11" s="209" t="s">
        <v>31</v>
      </c>
      <c r="C11" s="209" t="s">
        <v>47</v>
      </c>
      <c r="D11" s="209" t="s">
        <v>24</v>
      </c>
      <c r="E11" s="209" t="s">
        <v>18</v>
      </c>
      <c r="F11" s="209" t="s">
        <v>180</v>
      </c>
      <c r="G11" s="209" t="s">
        <v>20</v>
      </c>
      <c r="H11" s="246" t="s">
        <v>246</v>
      </c>
      <c r="I11" s="244">
        <v>45933</v>
      </c>
      <c r="J11" s="207">
        <v>18225</v>
      </c>
      <c r="K11" s="207">
        <v>18712</v>
      </c>
      <c r="L11" s="207">
        <v>19374</v>
      </c>
      <c r="M11" s="207">
        <v>19716</v>
      </c>
      <c r="N11" s="207">
        <v>20192</v>
      </c>
      <c r="O11" s="207">
        <v>20577</v>
      </c>
      <c r="P11" s="242">
        <v>45960</v>
      </c>
      <c r="Q11" s="233" t="s">
        <v>241</v>
      </c>
      <c r="R11" s="240">
        <v>45967</v>
      </c>
    </row>
    <row r="12" spans="1:18">
      <c r="A12" s="202" t="s">
        <v>14</v>
      </c>
      <c r="B12" s="204" t="s">
        <v>31</v>
      </c>
      <c r="C12" s="204" t="s">
        <v>168</v>
      </c>
      <c r="D12" s="202" t="s">
        <v>165</v>
      </c>
      <c r="E12" s="202" t="s">
        <v>18</v>
      </c>
      <c r="F12" s="202" t="s">
        <v>169</v>
      </c>
      <c r="G12" s="202" t="s">
        <v>20</v>
      </c>
      <c r="H12" s="247" t="s">
        <v>51</v>
      </c>
      <c r="I12" s="244">
        <v>45933</v>
      </c>
      <c r="J12" s="207">
        <v>106747</v>
      </c>
      <c r="K12" s="207">
        <v>107701</v>
      </c>
      <c r="L12" s="207">
        <v>108671</v>
      </c>
      <c r="M12" s="207">
        <v>109494</v>
      </c>
      <c r="N12" s="207">
        <v>110515</v>
      </c>
      <c r="O12" s="207">
        <v>111391</v>
      </c>
      <c r="P12" s="240">
        <v>45961</v>
      </c>
      <c r="Q12" s="233" t="s">
        <v>241</v>
      </c>
      <c r="R12" s="240">
        <v>45968</v>
      </c>
    </row>
    <row r="14" spans="1:18">
      <c r="A14" s="169" t="s">
        <v>1</v>
      </c>
      <c r="B14" s="170"/>
      <c r="C14" s="170"/>
      <c r="D14" s="170"/>
      <c r="E14" s="170"/>
      <c r="F14" s="255"/>
      <c r="G14" s="170"/>
      <c r="H14" s="170"/>
      <c r="I14" s="170"/>
      <c r="J14" s="170"/>
      <c r="K14" s="170"/>
      <c r="L14" s="170"/>
      <c r="M14" s="170"/>
      <c r="N14" s="170"/>
      <c r="O14" s="170"/>
      <c r="P14" s="228"/>
      <c r="Q14" s="171"/>
      <c r="R14" s="172"/>
    </row>
    <row r="15" spans="1:18" hidden="1">
      <c r="A15" s="193" t="s">
        <v>2</v>
      </c>
      <c r="B15" s="193" t="s">
        <v>3</v>
      </c>
      <c r="C15" s="193" t="s">
        <v>4</v>
      </c>
      <c r="D15" s="193" t="s">
        <v>5</v>
      </c>
      <c r="E15" s="193" t="s">
        <v>6</v>
      </c>
      <c r="F15" s="193" t="s">
        <v>7</v>
      </c>
      <c r="G15" s="193" t="s">
        <v>8</v>
      </c>
      <c r="H15" s="193" t="s">
        <v>9</v>
      </c>
      <c r="I15" s="193" t="s">
        <v>10</v>
      </c>
      <c r="J15" s="193" t="s">
        <v>247</v>
      </c>
      <c r="K15" s="216" t="s">
        <v>234</v>
      </c>
      <c r="L15" s="216" t="s">
        <v>235</v>
      </c>
      <c r="M15" s="216" t="s">
        <v>236</v>
      </c>
      <c r="N15" s="216" t="s">
        <v>237</v>
      </c>
      <c r="O15" s="216"/>
      <c r="P15" s="230" t="s">
        <v>238</v>
      </c>
      <c r="Q15" s="231" t="s">
        <v>248</v>
      </c>
      <c r="R15" s="232" t="s">
        <v>240</v>
      </c>
    </row>
    <row r="16" spans="1:18" hidden="1">
      <c r="A16" s="198" t="s">
        <v>96</v>
      </c>
      <c r="B16" s="198" t="s">
        <v>97</v>
      </c>
      <c r="C16" s="198" t="s">
        <v>98</v>
      </c>
      <c r="D16" s="198" t="s">
        <v>99</v>
      </c>
      <c r="E16" s="198" t="s">
        <v>18</v>
      </c>
      <c r="F16" s="198" t="s">
        <v>100</v>
      </c>
      <c r="G16" s="198" t="s">
        <v>20</v>
      </c>
      <c r="H16" s="200" t="s">
        <v>101</v>
      </c>
      <c r="I16" s="161">
        <v>45912</v>
      </c>
      <c r="J16" s="201" t="e">
        <f>SUM(K16:N16)</f>
        <v>#VALUE!</v>
      </c>
      <c r="K16" s="207">
        <f>K3-$J3</f>
        <v>0</v>
      </c>
      <c r="L16" s="207">
        <f t="shared" ref="L16:N25" si="0">L3-$J3</f>
        <v>611</v>
      </c>
      <c r="M16" s="207">
        <f t="shared" si="0"/>
        <v>1200</v>
      </c>
      <c r="N16" s="207" t="e">
        <f t="shared" si="0"/>
        <v>#VALUE!</v>
      </c>
      <c r="O16" s="207"/>
      <c r="P16" s="141">
        <v>45891</v>
      </c>
      <c r="Q16" s="218"/>
      <c r="R16" s="98"/>
    </row>
    <row r="17" spans="1:18" hidden="1">
      <c r="A17" s="198" t="s">
        <v>14</v>
      </c>
      <c r="B17" s="198" t="s">
        <v>126</v>
      </c>
      <c r="C17" s="198" t="s">
        <v>32</v>
      </c>
      <c r="D17" s="198" t="s">
        <v>24</v>
      </c>
      <c r="E17" s="198" t="s">
        <v>18</v>
      </c>
      <c r="F17" s="198" t="s">
        <v>139</v>
      </c>
      <c r="G17" s="197" t="s">
        <v>20</v>
      </c>
      <c r="H17" s="199" t="s">
        <v>66</v>
      </c>
      <c r="I17" s="161">
        <v>45912</v>
      </c>
      <c r="J17" s="201">
        <f t="shared" ref="J17:J25" si="1">SUM(K17:N17)</f>
        <v>5937</v>
      </c>
      <c r="K17" s="207">
        <f t="shared" ref="K17:K25" si="2">K4-$J4</f>
        <v>539</v>
      </c>
      <c r="L17" s="207">
        <f t="shared" si="0"/>
        <v>1008</v>
      </c>
      <c r="M17" s="207">
        <f t="shared" si="0"/>
        <v>1902</v>
      </c>
      <c r="N17" s="207">
        <f t="shared" si="0"/>
        <v>2488</v>
      </c>
      <c r="O17" s="207"/>
      <c r="P17" s="141">
        <v>45896</v>
      </c>
      <c r="Q17" s="218" t="s">
        <v>120</v>
      </c>
      <c r="R17" s="99">
        <v>45921</v>
      </c>
    </row>
    <row r="18" spans="1:18" hidden="1">
      <c r="A18" s="198" t="s">
        <v>14</v>
      </c>
      <c r="B18" s="198" t="s">
        <v>92</v>
      </c>
      <c r="C18" s="198" t="s">
        <v>49</v>
      </c>
      <c r="D18" s="198" t="s">
        <v>24</v>
      </c>
      <c r="E18" s="198" t="s">
        <v>18</v>
      </c>
      <c r="F18" s="198" t="s">
        <v>93</v>
      </c>
      <c r="G18" s="198" t="s">
        <v>20</v>
      </c>
      <c r="H18" s="200" t="s">
        <v>94</v>
      </c>
      <c r="I18" s="161">
        <v>45912</v>
      </c>
      <c r="J18" s="201">
        <f t="shared" si="1"/>
        <v>4938</v>
      </c>
      <c r="K18" s="207">
        <f t="shared" si="2"/>
        <v>644</v>
      </c>
      <c r="L18" s="207">
        <f t="shared" si="0"/>
        <v>730</v>
      </c>
      <c r="M18" s="207">
        <f t="shared" si="0"/>
        <v>1385</v>
      </c>
      <c r="N18" s="207">
        <f t="shared" ref="N18:N25" si="3">N5-$J5</f>
        <v>2179</v>
      </c>
      <c r="O18" s="207"/>
      <c r="P18" s="141">
        <v>45908</v>
      </c>
      <c r="Q18" s="182" t="s">
        <v>194</v>
      </c>
      <c r="R18" s="99">
        <v>45919</v>
      </c>
    </row>
    <row r="19" spans="1:18" hidden="1">
      <c r="A19" s="197" t="s">
        <v>14</v>
      </c>
      <c r="B19" s="197" t="s">
        <v>15</v>
      </c>
      <c r="C19" s="198" t="s">
        <v>16</v>
      </c>
      <c r="D19" s="197" t="s">
        <v>17</v>
      </c>
      <c r="E19" s="197" t="s">
        <v>18</v>
      </c>
      <c r="F19" s="197" t="s">
        <v>19</v>
      </c>
      <c r="G19" s="197" t="s">
        <v>20</v>
      </c>
      <c r="H19" s="199" t="s">
        <v>21</v>
      </c>
      <c r="I19" s="161">
        <v>45912</v>
      </c>
      <c r="J19" s="201">
        <f t="shared" si="1"/>
        <v>6107</v>
      </c>
      <c r="K19" s="207">
        <f t="shared" si="2"/>
        <v>804</v>
      </c>
      <c r="L19" s="207">
        <f t="shared" si="0"/>
        <v>1150</v>
      </c>
      <c r="M19" s="207">
        <f t="shared" si="0"/>
        <v>1795</v>
      </c>
      <c r="N19" s="207">
        <f t="shared" si="3"/>
        <v>2358</v>
      </c>
      <c r="O19" s="207"/>
      <c r="P19" s="141">
        <v>45916</v>
      </c>
      <c r="Q19" s="182" t="s">
        <v>194</v>
      </c>
      <c r="R19" s="99">
        <v>45924</v>
      </c>
    </row>
    <row r="20" spans="1:18" hidden="1">
      <c r="A20" s="198" t="s">
        <v>14</v>
      </c>
      <c r="B20" s="198" t="s">
        <v>126</v>
      </c>
      <c r="C20" s="198" t="s">
        <v>23</v>
      </c>
      <c r="D20" s="198" t="s">
        <v>24</v>
      </c>
      <c r="E20" s="198" t="s">
        <v>18</v>
      </c>
      <c r="F20" s="198" t="s">
        <v>176</v>
      </c>
      <c r="G20" s="197" t="s">
        <v>20</v>
      </c>
      <c r="H20" s="199" t="s">
        <v>66</v>
      </c>
      <c r="I20" s="161">
        <v>45912</v>
      </c>
      <c r="J20" s="201" t="e">
        <f t="shared" si="1"/>
        <v>#VALUE!</v>
      </c>
      <c r="K20" s="207">
        <f t="shared" si="2"/>
        <v>343</v>
      </c>
      <c r="L20" s="207">
        <f t="shared" si="0"/>
        <v>883</v>
      </c>
      <c r="M20" s="207">
        <f t="shared" si="0"/>
        <v>1269</v>
      </c>
      <c r="N20" s="207" t="e">
        <f t="shared" si="3"/>
        <v>#VALUE!</v>
      </c>
      <c r="O20" s="207"/>
      <c r="P20" s="141">
        <v>45901</v>
      </c>
      <c r="Q20" s="182" t="s">
        <v>120</v>
      </c>
      <c r="R20" s="99">
        <v>45920</v>
      </c>
    </row>
    <row r="21" spans="1:18" hidden="1">
      <c r="A21" s="198" t="s">
        <v>14</v>
      </c>
      <c r="B21" s="198" t="s">
        <v>27</v>
      </c>
      <c r="C21" s="198" t="s">
        <v>28</v>
      </c>
      <c r="D21" s="198" t="s">
        <v>17</v>
      </c>
      <c r="E21" s="198" t="s">
        <v>18</v>
      </c>
      <c r="F21" s="198" t="s">
        <v>29</v>
      </c>
      <c r="G21" s="197" t="s">
        <v>20</v>
      </c>
      <c r="H21" s="199" t="s">
        <v>30</v>
      </c>
      <c r="I21" s="161">
        <v>45912</v>
      </c>
      <c r="J21" s="201">
        <f t="shared" si="1"/>
        <v>8147</v>
      </c>
      <c r="K21" s="207">
        <f t="shared" si="2"/>
        <v>868</v>
      </c>
      <c r="L21" s="207">
        <f t="shared" si="0"/>
        <v>1612</v>
      </c>
      <c r="M21" s="207">
        <f t="shared" si="0"/>
        <v>2485</v>
      </c>
      <c r="N21" s="207">
        <f t="shared" si="3"/>
        <v>3182</v>
      </c>
      <c r="O21" s="207"/>
      <c r="P21" s="141">
        <v>45904</v>
      </c>
      <c r="Q21" s="218" t="s">
        <v>120</v>
      </c>
      <c r="R21" s="99">
        <v>45926</v>
      </c>
    </row>
    <row r="22" spans="1:18" hidden="1">
      <c r="A22" s="197" t="s">
        <v>14</v>
      </c>
      <c r="B22" s="197" t="s">
        <v>126</v>
      </c>
      <c r="C22" s="198" t="s">
        <v>52</v>
      </c>
      <c r="D22" s="197" t="s">
        <v>24</v>
      </c>
      <c r="E22" s="197" t="s">
        <v>18</v>
      </c>
      <c r="F22" s="197" t="s">
        <v>167</v>
      </c>
      <c r="G22" s="197" t="s">
        <v>20</v>
      </c>
      <c r="H22" s="199" t="s">
        <v>132</v>
      </c>
      <c r="I22" s="161">
        <v>45912</v>
      </c>
      <c r="J22" s="201">
        <f t="shared" si="1"/>
        <v>4274</v>
      </c>
      <c r="K22" s="207">
        <f t="shared" si="2"/>
        <v>139</v>
      </c>
      <c r="L22" s="207">
        <f t="shared" si="0"/>
        <v>513</v>
      </c>
      <c r="M22" s="207">
        <f t="shared" si="0"/>
        <v>1385</v>
      </c>
      <c r="N22" s="207">
        <f t="shared" si="3"/>
        <v>2237</v>
      </c>
      <c r="O22" s="251"/>
      <c r="P22" s="59">
        <v>45905</v>
      </c>
      <c r="Q22" s="184" t="s">
        <v>120</v>
      </c>
      <c r="R22" s="99">
        <v>45924</v>
      </c>
    </row>
    <row r="23" spans="1:18" hidden="1">
      <c r="A23" s="198" t="s">
        <v>14</v>
      </c>
      <c r="B23" s="198" t="s">
        <v>164</v>
      </c>
      <c r="C23" s="198" t="s">
        <v>41</v>
      </c>
      <c r="D23" s="198" t="s">
        <v>165</v>
      </c>
      <c r="E23" s="198" t="s">
        <v>18</v>
      </c>
      <c r="F23" s="198" t="s">
        <v>166</v>
      </c>
      <c r="G23" s="198" t="s">
        <v>20</v>
      </c>
      <c r="H23" s="200" t="s">
        <v>91</v>
      </c>
      <c r="I23" s="161">
        <v>45912</v>
      </c>
      <c r="J23" s="201">
        <f t="shared" si="1"/>
        <v>7407</v>
      </c>
      <c r="K23" s="207">
        <f t="shared" si="2"/>
        <v>734</v>
      </c>
      <c r="L23" s="207">
        <f t="shared" si="0"/>
        <v>1479</v>
      </c>
      <c r="M23" s="207">
        <f t="shared" si="0"/>
        <v>2190</v>
      </c>
      <c r="N23" s="207">
        <f t="shared" si="3"/>
        <v>3004</v>
      </c>
      <c r="O23" s="207"/>
      <c r="P23" s="141">
        <v>45918</v>
      </c>
      <c r="Q23" s="184" t="s">
        <v>194</v>
      </c>
      <c r="R23" s="99">
        <v>45923</v>
      </c>
    </row>
    <row r="24" spans="1:18" hidden="1">
      <c r="A24" s="209" t="s">
        <v>14</v>
      </c>
      <c r="B24" s="209" t="s">
        <v>31</v>
      </c>
      <c r="C24" s="209" t="s">
        <v>47</v>
      </c>
      <c r="D24" s="209" t="s">
        <v>24</v>
      </c>
      <c r="E24" s="209" t="s">
        <v>18</v>
      </c>
      <c r="F24" s="209" t="s">
        <v>180</v>
      </c>
      <c r="G24" s="209" t="s">
        <v>20</v>
      </c>
      <c r="H24" s="217" t="s">
        <v>163</v>
      </c>
      <c r="I24" s="161">
        <v>45912</v>
      </c>
      <c r="J24" s="201">
        <f t="shared" si="1"/>
        <v>5094</v>
      </c>
      <c r="K24" s="207">
        <f t="shared" si="2"/>
        <v>487</v>
      </c>
      <c r="L24" s="207">
        <f t="shared" si="0"/>
        <v>1149</v>
      </c>
      <c r="M24" s="207">
        <f t="shared" si="0"/>
        <v>1491</v>
      </c>
      <c r="N24" s="207">
        <f t="shared" si="3"/>
        <v>1967</v>
      </c>
      <c r="O24" s="207"/>
      <c r="P24" s="141">
        <v>45901</v>
      </c>
      <c r="Q24" s="184" t="s">
        <v>120</v>
      </c>
      <c r="R24" s="99">
        <v>45922</v>
      </c>
    </row>
    <row r="25" spans="1:18" hidden="1">
      <c r="A25" s="202" t="s">
        <v>14</v>
      </c>
      <c r="B25" s="204" t="s">
        <v>31</v>
      </c>
      <c r="C25" s="204" t="s">
        <v>168</v>
      </c>
      <c r="D25" s="202" t="s">
        <v>165</v>
      </c>
      <c r="E25" s="202" t="s">
        <v>18</v>
      </c>
      <c r="F25" s="202" t="s">
        <v>169</v>
      </c>
      <c r="G25" s="202" t="s">
        <v>20</v>
      </c>
      <c r="H25" s="202" t="s">
        <v>91</v>
      </c>
      <c r="I25" s="161">
        <v>45912</v>
      </c>
      <c r="J25" s="201">
        <f t="shared" si="1"/>
        <v>9393</v>
      </c>
      <c r="K25" s="207">
        <f t="shared" si="2"/>
        <v>954</v>
      </c>
      <c r="L25" s="207">
        <f t="shared" si="0"/>
        <v>1924</v>
      </c>
      <c r="M25" s="207">
        <f t="shared" si="0"/>
        <v>2747</v>
      </c>
      <c r="N25" s="207">
        <f t="shared" si="3"/>
        <v>3768</v>
      </c>
      <c r="O25" s="207"/>
      <c r="P25" s="141">
        <v>45905</v>
      </c>
      <c r="Q25" s="184" t="s">
        <v>120</v>
      </c>
      <c r="R25" s="99">
        <v>45922</v>
      </c>
    </row>
    <row r="26" spans="1:18" ht="14.95" thickBot="1"/>
    <row r="27" spans="1:18" ht="28.55">
      <c r="A27" s="319" t="s">
        <v>249</v>
      </c>
      <c r="B27" s="320"/>
      <c r="C27" s="320"/>
      <c r="D27" s="320"/>
      <c r="E27" s="320"/>
      <c r="F27" s="226"/>
      <c r="G27" s="250" t="s">
        <v>238</v>
      </c>
    </row>
    <row r="28" spans="1:18" ht="14.95" thickBot="1">
      <c r="A28" s="227" t="s">
        <v>250</v>
      </c>
      <c r="B28" s="222" t="s">
        <v>234</v>
      </c>
      <c r="C28" s="222" t="s">
        <v>235</v>
      </c>
      <c r="D28" s="222" t="s">
        <v>236</v>
      </c>
      <c r="E28" s="223" t="s">
        <v>237</v>
      </c>
      <c r="F28" s="223" t="s">
        <v>254</v>
      </c>
      <c r="G28" s="224" t="s">
        <v>251</v>
      </c>
      <c r="H28" s="225">
        <f ca="1">TODAY()</f>
        <v>46263</v>
      </c>
      <c r="P28"/>
      <c r="Q28" s="229"/>
    </row>
    <row r="29" spans="1:18" ht="14.95" thickBot="1">
      <c r="A29" s="252" t="s">
        <v>98</v>
      </c>
      <c r="B29" s="253">
        <f>K3-J3</f>
        <v>0</v>
      </c>
      <c r="C29" s="254">
        <f>L3-K3</f>
        <v>611</v>
      </c>
      <c r="D29" s="254">
        <f>M3-L3</f>
        <v>589</v>
      </c>
      <c r="E29" s="254">
        <v>0</v>
      </c>
      <c r="F29" s="256"/>
      <c r="G29" s="257">
        <f>SUM(B29:F29)</f>
        <v>1200</v>
      </c>
      <c r="H29" s="239">
        <f>R3</f>
        <v>0</v>
      </c>
      <c r="P29"/>
      <c r="Q29" s="229"/>
    </row>
    <row r="30" spans="1:18" ht="14.95" thickBot="1">
      <c r="A30" s="219" t="s">
        <v>32</v>
      </c>
      <c r="B30" s="253">
        <f t="shared" ref="B30:B38" si="4">K4-J4</f>
        <v>539</v>
      </c>
      <c r="C30" s="254">
        <f t="shared" ref="C30:C38" si="5">L4-K4</f>
        <v>469</v>
      </c>
      <c r="D30" s="254">
        <f t="shared" ref="D30:D38" si="6">M4-L4</f>
        <v>894</v>
      </c>
      <c r="E30" s="254">
        <f t="shared" ref="E30:F38" si="7">N4-M4</f>
        <v>586</v>
      </c>
      <c r="F30" s="254">
        <f t="shared" si="7"/>
        <v>820</v>
      </c>
      <c r="G30" s="257">
        <f>SUM(B30:F30)</f>
        <v>3308</v>
      </c>
      <c r="H30" s="239">
        <f>R4</f>
        <v>45939</v>
      </c>
      <c r="P30"/>
      <c r="Q30" s="229"/>
    </row>
    <row r="31" spans="1:18" ht="14.95" thickBot="1">
      <c r="A31" s="219" t="s">
        <v>49</v>
      </c>
      <c r="B31" s="253">
        <f t="shared" si="4"/>
        <v>644</v>
      </c>
      <c r="C31" s="254">
        <f t="shared" si="5"/>
        <v>86</v>
      </c>
      <c r="D31" s="254">
        <f t="shared" si="6"/>
        <v>655</v>
      </c>
      <c r="E31" s="254">
        <f t="shared" si="7"/>
        <v>794</v>
      </c>
      <c r="F31" s="254">
        <f t="shared" si="7"/>
        <v>814</v>
      </c>
      <c r="G31" s="257">
        <f t="shared" ref="G31:G38" si="8">SUM(B31:F31)</f>
        <v>2993</v>
      </c>
      <c r="H31" s="239">
        <f t="shared" ref="H31:H38" si="9">R5</f>
        <v>45962</v>
      </c>
      <c r="P31"/>
      <c r="Q31" s="229"/>
    </row>
    <row r="32" spans="1:18" ht="14.95" thickBot="1">
      <c r="A32" s="219" t="s">
        <v>16</v>
      </c>
      <c r="B32" s="253">
        <f t="shared" si="4"/>
        <v>804</v>
      </c>
      <c r="C32" s="254">
        <f t="shared" si="5"/>
        <v>346</v>
      </c>
      <c r="D32" s="254">
        <f t="shared" si="6"/>
        <v>645</v>
      </c>
      <c r="E32" s="254">
        <f t="shared" si="7"/>
        <v>563</v>
      </c>
      <c r="F32" s="254" t="e">
        <f t="shared" si="7"/>
        <v>#VALUE!</v>
      </c>
      <c r="G32" s="257" t="e">
        <f t="shared" si="8"/>
        <v>#VALUE!</v>
      </c>
      <c r="H32" s="239">
        <f t="shared" si="9"/>
        <v>45961</v>
      </c>
      <c r="P32"/>
      <c r="Q32" s="229"/>
    </row>
    <row r="33" spans="1:17" ht="14.95" thickBot="1">
      <c r="A33" s="219" t="s">
        <v>23</v>
      </c>
      <c r="B33" s="253">
        <f t="shared" si="4"/>
        <v>343</v>
      </c>
      <c r="C33" s="254">
        <f t="shared" si="5"/>
        <v>540</v>
      </c>
      <c r="D33" s="254">
        <f t="shared" si="6"/>
        <v>386</v>
      </c>
      <c r="E33" s="254" t="e">
        <f t="shared" si="7"/>
        <v>#VALUE!</v>
      </c>
      <c r="F33" s="254" t="e">
        <f t="shared" si="7"/>
        <v>#VALUE!</v>
      </c>
      <c r="G33" s="257" t="e">
        <f t="shared" si="8"/>
        <v>#VALUE!</v>
      </c>
      <c r="H33" s="239">
        <f t="shared" si="9"/>
        <v>45968</v>
      </c>
      <c r="P33"/>
      <c r="Q33" s="229"/>
    </row>
    <row r="34" spans="1:17" ht="14.95" thickBot="1">
      <c r="A34" s="219" t="s">
        <v>28</v>
      </c>
      <c r="B34" s="253">
        <f t="shared" si="4"/>
        <v>868</v>
      </c>
      <c r="C34" s="254">
        <f t="shared" si="5"/>
        <v>744</v>
      </c>
      <c r="D34" s="254">
        <f t="shared" si="6"/>
        <v>873</v>
      </c>
      <c r="E34" s="254">
        <f t="shared" si="7"/>
        <v>697</v>
      </c>
      <c r="F34" s="254">
        <f t="shared" si="7"/>
        <v>690</v>
      </c>
      <c r="G34" s="257">
        <f t="shared" si="8"/>
        <v>3872</v>
      </c>
      <c r="H34" s="239">
        <f t="shared" si="9"/>
        <v>45947</v>
      </c>
      <c r="P34"/>
      <c r="Q34" s="229"/>
    </row>
    <row r="35" spans="1:17" ht="14.95" thickBot="1">
      <c r="A35" s="219" t="s">
        <v>52</v>
      </c>
      <c r="B35" s="253">
        <f t="shared" si="4"/>
        <v>139</v>
      </c>
      <c r="C35" s="254">
        <f t="shared" si="5"/>
        <v>374</v>
      </c>
      <c r="D35" s="254">
        <f t="shared" si="6"/>
        <v>872</v>
      </c>
      <c r="E35" s="254">
        <f t="shared" si="7"/>
        <v>852</v>
      </c>
      <c r="F35" s="254">
        <f t="shared" si="7"/>
        <v>588</v>
      </c>
      <c r="G35" s="257">
        <f t="shared" si="8"/>
        <v>2825</v>
      </c>
      <c r="H35" s="239">
        <f t="shared" si="9"/>
        <v>45968</v>
      </c>
      <c r="P35"/>
      <c r="Q35" s="229"/>
    </row>
    <row r="36" spans="1:17" ht="14.95" thickBot="1">
      <c r="A36" s="219" t="s">
        <v>41</v>
      </c>
      <c r="B36" s="253">
        <f t="shared" si="4"/>
        <v>734</v>
      </c>
      <c r="C36" s="254">
        <f t="shared" si="5"/>
        <v>745</v>
      </c>
      <c r="D36" s="254">
        <f t="shared" si="6"/>
        <v>711</v>
      </c>
      <c r="E36" s="254">
        <f t="shared" si="7"/>
        <v>814</v>
      </c>
      <c r="F36" s="254">
        <f t="shared" si="7"/>
        <v>766</v>
      </c>
      <c r="G36" s="257">
        <f t="shared" si="8"/>
        <v>3770</v>
      </c>
      <c r="H36" s="239">
        <f t="shared" si="9"/>
        <v>45964</v>
      </c>
      <c r="P36"/>
      <c r="Q36" s="229"/>
    </row>
    <row r="37" spans="1:17" ht="14.95" thickBot="1">
      <c r="A37" s="220" t="s">
        <v>47</v>
      </c>
      <c r="B37" s="253">
        <f t="shared" si="4"/>
        <v>487</v>
      </c>
      <c r="C37" s="254">
        <f t="shared" si="5"/>
        <v>662</v>
      </c>
      <c r="D37" s="254">
        <f t="shared" si="6"/>
        <v>342</v>
      </c>
      <c r="E37" s="254">
        <f t="shared" si="7"/>
        <v>476</v>
      </c>
      <c r="F37" s="254">
        <f t="shared" si="7"/>
        <v>385</v>
      </c>
      <c r="G37" s="257">
        <f t="shared" si="8"/>
        <v>2352</v>
      </c>
      <c r="H37" s="239">
        <f t="shared" si="9"/>
        <v>45967</v>
      </c>
      <c r="P37"/>
      <c r="Q37" s="229"/>
    </row>
    <row r="38" spans="1:17" ht="14.95" thickBot="1">
      <c r="A38" s="221" t="s">
        <v>168</v>
      </c>
      <c r="B38" s="253">
        <f t="shared" si="4"/>
        <v>954</v>
      </c>
      <c r="C38" s="254">
        <f t="shared" si="5"/>
        <v>970</v>
      </c>
      <c r="D38" s="254">
        <f t="shared" si="6"/>
        <v>823</v>
      </c>
      <c r="E38" s="254">
        <f t="shared" si="7"/>
        <v>1021</v>
      </c>
      <c r="F38" s="254">
        <f t="shared" si="7"/>
        <v>876</v>
      </c>
      <c r="G38" s="257">
        <f t="shared" si="8"/>
        <v>4644</v>
      </c>
      <c r="H38" s="239">
        <f t="shared" si="9"/>
        <v>45968</v>
      </c>
      <c r="P38"/>
      <c r="Q38" s="229"/>
    </row>
  </sheetData>
  <autoFilter ref="A2:R2">
    <sortState ref="A3:R12">
      <sortCondition ref="C2"/>
    </sortState>
  </autoFilter>
  <mergeCells count="1">
    <mergeCell ref="A27:E27"/>
  </mergeCells>
  <phoneticPr fontId="3" type="noConversion"/>
  <conditionalFormatting sqref="B29:B38 C30:E30 F30:G38 E31:E38">
    <cfRule type="cellIs" dxfId="159" priority="19" operator="between">
      <formula>1</formula>
      <formula>299</formula>
    </cfRule>
  </conditionalFormatting>
  <conditionalFormatting sqref="B29:E38 G29:G38 F30:F38">
    <cfRule type="cellIs" priority="20" operator="equal">
      <formula>0</formula>
    </cfRule>
  </conditionalFormatting>
  <conditionalFormatting sqref="C29:E38 G29:G38 F30:F38">
    <cfRule type="cellIs" dxfId="158" priority="13" operator="between">
      <formula>1</formula>
      <formula>600</formula>
    </cfRule>
    <cfRule type="cellIs" dxfId="157" priority="14" operator="between">
      <formula>600</formula>
      <formula>1000</formula>
    </cfRule>
    <cfRule type="cellIs" dxfId="156" priority="15" operator="greaterThan">
      <formula>1000</formula>
    </cfRule>
  </conditionalFormatting>
  <conditionalFormatting sqref="C30:E30 F30:G38 E31:E38 B29:B38">
    <cfRule type="cellIs" dxfId="155" priority="17" operator="greaterThan">
      <formula>500</formula>
    </cfRule>
    <cfRule type="cellIs" dxfId="154" priority="18" operator="between">
      <formula>300</formula>
      <formula>500</formula>
    </cfRule>
  </conditionalFormatting>
  <conditionalFormatting sqref="D29:E38 G29:G38 F30:F38">
    <cfRule type="cellIs" dxfId="153" priority="10" operator="greaterThan">
      <formula>1501</formula>
    </cfRule>
    <cfRule type="cellIs" dxfId="152" priority="11" operator="between">
      <formula>1</formula>
      <formula>900</formula>
    </cfRule>
    <cfRule type="cellIs" dxfId="151" priority="12" operator="between">
      <formula>900</formula>
      <formula>1500</formula>
    </cfRule>
  </conditionalFormatting>
  <conditionalFormatting sqref="E29:E38 F30:F38">
    <cfRule type="cellIs" dxfId="150" priority="9" operator="greaterThan">
      <formula>2000</formula>
    </cfRule>
  </conditionalFormatting>
  <conditionalFormatting sqref="E29:E38 G29:G38 F30:F38">
    <cfRule type="cellIs" dxfId="149" priority="7" operator="between">
      <formula>1201</formula>
      <formula>2000</formula>
    </cfRule>
    <cfRule type="cellIs" dxfId="148" priority="8" operator="between">
      <formula>1</formula>
      <formula>1200</formula>
    </cfRule>
  </conditionalFormatting>
  <conditionalFormatting sqref="G29:G38">
    <cfRule type="cellIs" dxfId="147" priority="1" operator="between">
      <formula>1500</formula>
      <formula>2000</formula>
    </cfRule>
    <cfRule type="cellIs" dxfId="146" priority="2" operator="between">
      <formula>1200</formula>
      <formula>2000</formula>
    </cfRule>
    <cfRule type="cellIs" dxfId="145" priority="3" operator="greaterThan">
      <formula>2000</formula>
    </cfRule>
  </conditionalFormatting>
  <conditionalFormatting sqref="H29:H38">
    <cfRule type="cellIs" dxfId="144" priority="4" operator="lessThan">
      <formula>$H$28</formula>
    </cfRule>
  </conditionalFormatting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view="pageBreakPreview" zoomScale="90" zoomScaleNormal="90" zoomScaleSheetLayoutView="90" workbookViewId="0">
      <selection sqref="A1:R39"/>
    </sheetView>
  </sheetViews>
  <sheetFormatPr defaultColWidth="9.125" defaultRowHeight="14.3"/>
  <cols>
    <col min="1" max="1" width="16.125" customWidth="1"/>
    <col min="2" max="5" width="15.625" customWidth="1"/>
    <col min="6" max="6" width="11.125" customWidth="1"/>
    <col min="7" max="7" width="12.875" customWidth="1"/>
    <col min="8" max="8" width="19.5" bestFit="1" customWidth="1"/>
    <col min="9" max="9" width="13.625" bestFit="1" customWidth="1"/>
    <col min="10" max="10" width="11.125" bestFit="1" customWidth="1"/>
    <col min="11" max="13" width="11.125" customWidth="1"/>
    <col min="14" max="14" width="16.375" bestFit="1" customWidth="1"/>
    <col min="15" max="15" width="16.375" hidden="1" customWidth="1"/>
    <col min="16" max="16" width="19.875" style="229" bestFit="1" customWidth="1"/>
    <col min="17" max="17" width="26.875" bestFit="1" customWidth="1"/>
    <col min="18" max="18" width="18.375" bestFit="1" customWidth="1"/>
  </cols>
  <sheetData>
    <row r="1" spans="1:18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228"/>
      <c r="Q1" s="171"/>
      <c r="R1" s="172"/>
    </row>
    <row r="2" spans="1:18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232</v>
      </c>
      <c r="J2" s="193" t="s">
        <v>233</v>
      </c>
      <c r="K2" s="216" t="s">
        <v>234</v>
      </c>
      <c r="L2" s="216" t="s">
        <v>235</v>
      </c>
      <c r="M2" s="216" t="s">
        <v>236</v>
      </c>
      <c r="N2" s="216" t="s">
        <v>237</v>
      </c>
      <c r="O2" s="216" t="s">
        <v>254</v>
      </c>
      <c r="P2" s="236" t="s">
        <v>238</v>
      </c>
      <c r="Q2" s="216" t="s">
        <v>239</v>
      </c>
      <c r="R2" s="216" t="s">
        <v>240</v>
      </c>
    </row>
    <row r="3" spans="1:18">
      <c r="A3" s="198" t="s">
        <v>96</v>
      </c>
      <c r="B3" s="198" t="s">
        <v>97</v>
      </c>
      <c r="C3" s="238" t="s">
        <v>98</v>
      </c>
      <c r="D3" s="198" t="s">
        <v>99</v>
      </c>
      <c r="E3" s="198" t="s">
        <v>18</v>
      </c>
      <c r="F3" s="198" t="s">
        <v>256</v>
      </c>
      <c r="G3" s="198" t="s">
        <v>20</v>
      </c>
      <c r="H3" s="249"/>
      <c r="I3" s="244">
        <v>45968</v>
      </c>
      <c r="J3" s="237">
        <v>84</v>
      </c>
      <c r="K3" s="237">
        <v>84</v>
      </c>
      <c r="L3" s="237"/>
      <c r="M3" s="207"/>
      <c r="N3" s="207"/>
      <c r="O3" s="207"/>
      <c r="P3" s="242">
        <v>45603</v>
      </c>
      <c r="Q3" s="233" t="s">
        <v>241</v>
      </c>
      <c r="R3" s="240"/>
    </row>
    <row r="4" spans="1:18">
      <c r="A4" s="198" t="s">
        <v>14</v>
      </c>
      <c r="B4" s="198" t="s">
        <v>126</v>
      </c>
      <c r="C4" s="238" t="s">
        <v>32</v>
      </c>
      <c r="D4" s="198" t="s">
        <v>24</v>
      </c>
      <c r="E4" s="198" t="s">
        <v>18</v>
      </c>
      <c r="F4" s="198" t="s">
        <v>139</v>
      </c>
      <c r="G4" s="197" t="s">
        <v>20</v>
      </c>
      <c r="H4" s="249"/>
      <c r="I4" s="244">
        <v>45968</v>
      </c>
      <c r="J4" s="201">
        <v>25589</v>
      </c>
      <c r="K4" s="237">
        <v>26692</v>
      </c>
      <c r="L4" s="207"/>
      <c r="M4" s="207">
        <v>28272</v>
      </c>
      <c r="N4" s="207">
        <v>28637</v>
      </c>
      <c r="O4" s="207"/>
      <c r="P4" s="242">
        <v>45981</v>
      </c>
      <c r="Q4" s="233" t="s">
        <v>241</v>
      </c>
      <c r="R4" s="241">
        <v>45988</v>
      </c>
    </row>
    <row r="5" spans="1:18">
      <c r="A5" s="198" t="s">
        <v>14</v>
      </c>
      <c r="B5" s="198" t="s">
        <v>92</v>
      </c>
      <c r="C5" s="235" t="s">
        <v>49</v>
      </c>
      <c r="D5" s="198" t="s">
        <v>24</v>
      </c>
      <c r="E5" s="198" t="s">
        <v>18</v>
      </c>
      <c r="F5" s="198" t="s">
        <v>93</v>
      </c>
      <c r="G5" s="198" t="s">
        <v>20</v>
      </c>
      <c r="H5" s="249"/>
      <c r="I5" s="244">
        <v>45968</v>
      </c>
      <c r="J5" s="201"/>
      <c r="K5" s="207">
        <v>19620</v>
      </c>
      <c r="L5" s="207">
        <v>20299</v>
      </c>
      <c r="M5" s="207">
        <v>20708</v>
      </c>
      <c r="N5" s="207">
        <v>21725</v>
      </c>
      <c r="O5" s="207"/>
      <c r="P5" s="242">
        <v>45975</v>
      </c>
      <c r="Q5" s="233" t="s">
        <v>241</v>
      </c>
      <c r="R5" s="258">
        <v>45991</v>
      </c>
    </row>
    <row r="6" spans="1:18">
      <c r="A6" s="197" t="s">
        <v>14</v>
      </c>
      <c r="B6" s="197" t="s">
        <v>15</v>
      </c>
      <c r="C6" s="238" t="s">
        <v>16</v>
      </c>
      <c r="D6" s="197" t="s">
        <v>165</v>
      </c>
      <c r="E6" s="197" t="s">
        <v>18</v>
      </c>
      <c r="F6" s="197" t="s">
        <v>19</v>
      </c>
      <c r="G6" s="197" t="s">
        <v>20</v>
      </c>
      <c r="H6" s="245" t="s">
        <v>30</v>
      </c>
      <c r="I6" s="244">
        <v>45968</v>
      </c>
      <c r="J6" s="201"/>
      <c r="K6" s="207">
        <v>174247</v>
      </c>
      <c r="L6" s="207">
        <v>174922</v>
      </c>
      <c r="M6" s="207"/>
      <c r="N6" s="207">
        <v>176451</v>
      </c>
      <c r="O6" s="207"/>
      <c r="P6" s="242">
        <v>45945</v>
      </c>
      <c r="Q6" s="233" t="s">
        <v>241</v>
      </c>
      <c r="R6" s="241">
        <v>45991</v>
      </c>
    </row>
    <row r="7" spans="1:18">
      <c r="A7" s="198" t="s">
        <v>14</v>
      </c>
      <c r="B7" s="198" t="s">
        <v>126</v>
      </c>
      <c r="C7" s="238" t="s">
        <v>23</v>
      </c>
      <c r="D7" s="198" t="s">
        <v>24</v>
      </c>
      <c r="E7" s="198" t="s">
        <v>18</v>
      </c>
      <c r="F7" s="198" t="s">
        <v>176</v>
      </c>
      <c r="G7" s="197" t="s">
        <v>20</v>
      </c>
      <c r="H7" s="245" t="s">
        <v>255</v>
      </c>
      <c r="I7" s="244">
        <v>45968</v>
      </c>
      <c r="J7" s="205">
        <v>25610</v>
      </c>
      <c r="K7" s="207">
        <v>25954</v>
      </c>
      <c r="L7" s="237">
        <v>26315</v>
      </c>
      <c r="M7" s="207">
        <v>26797</v>
      </c>
      <c r="N7" s="207">
        <v>27389</v>
      </c>
      <c r="O7" s="207"/>
      <c r="P7" s="242">
        <v>45974</v>
      </c>
      <c r="Q7" s="233" t="s">
        <v>241</v>
      </c>
      <c r="R7" s="241">
        <v>45993</v>
      </c>
    </row>
    <row r="8" spans="1:18">
      <c r="A8" s="198" t="s">
        <v>14</v>
      </c>
      <c r="B8" s="198" t="s">
        <v>27</v>
      </c>
      <c r="C8" s="198" t="s">
        <v>28</v>
      </c>
      <c r="D8" s="198" t="s">
        <v>24</v>
      </c>
      <c r="E8" s="198" t="s">
        <v>18</v>
      </c>
      <c r="F8" s="198" t="s">
        <v>29</v>
      </c>
      <c r="G8" s="197" t="s">
        <v>20</v>
      </c>
      <c r="H8" s="245" t="s">
        <v>244</v>
      </c>
      <c r="I8" s="244">
        <v>45968</v>
      </c>
      <c r="J8" s="207">
        <v>109814</v>
      </c>
      <c r="K8" s="207">
        <v>110603</v>
      </c>
      <c r="L8" s="207">
        <v>111478</v>
      </c>
      <c r="M8" s="207">
        <v>112135</v>
      </c>
      <c r="N8" s="207">
        <v>113217</v>
      </c>
      <c r="O8" s="207"/>
      <c r="P8" s="240">
        <v>45976</v>
      </c>
      <c r="Q8" s="233" t="s">
        <v>241</v>
      </c>
      <c r="R8" s="240">
        <v>45992</v>
      </c>
    </row>
    <row r="9" spans="1:18">
      <c r="A9" s="197" t="s">
        <v>14</v>
      </c>
      <c r="B9" s="197" t="s">
        <v>126</v>
      </c>
      <c r="C9" s="238" t="s">
        <v>52</v>
      </c>
      <c r="D9" s="197" t="s">
        <v>24</v>
      </c>
      <c r="E9" s="197" t="s">
        <v>18</v>
      </c>
      <c r="F9" s="197" t="s">
        <v>167</v>
      </c>
      <c r="G9" s="197" t="s">
        <v>20</v>
      </c>
      <c r="H9" s="248" t="s">
        <v>245</v>
      </c>
      <c r="I9" s="244">
        <v>45968</v>
      </c>
      <c r="J9" s="207">
        <v>12954</v>
      </c>
      <c r="K9" s="207">
        <v>13428</v>
      </c>
      <c r="L9" s="237">
        <v>13877</v>
      </c>
      <c r="M9" s="207"/>
      <c r="N9" s="207"/>
      <c r="O9" s="207"/>
      <c r="P9" s="243">
        <v>45961</v>
      </c>
      <c r="Q9" s="233" t="s">
        <v>241</v>
      </c>
      <c r="R9" s="240">
        <v>45966</v>
      </c>
    </row>
    <row r="10" spans="1:18">
      <c r="A10" s="198" t="s">
        <v>14</v>
      </c>
      <c r="B10" s="198" t="s">
        <v>164</v>
      </c>
      <c r="C10" s="198" t="s">
        <v>41</v>
      </c>
      <c r="D10" s="198" t="s">
        <v>24</v>
      </c>
      <c r="E10" s="198" t="s">
        <v>18</v>
      </c>
      <c r="F10" s="198" t="s">
        <v>258</v>
      </c>
      <c r="G10" s="198" t="s">
        <v>20</v>
      </c>
      <c r="H10" s="249"/>
      <c r="I10" s="244">
        <v>45968</v>
      </c>
      <c r="J10" s="207">
        <v>19333</v>
      </c>
      <c r="K10" s="234">
        <v>19920</v>
      </c>
      <c r="L10" s="207">
        <v>20819</v>
      </c>
      <c r="M10" s="207"/>
      <c r="N10" s="207">
        <v>21952</v>
      </c>
      <c r="O10" s="207"/>
      <c r="P10" s="242">
        <v>45957</v>
      </c>
      <c r="Q10" s="233" t="s">
        <v>241</v>
      </c>
      <c r="R10" s="240">
        <v>45997</v>
      </c>
    </row>
    <row r="11" spans="1:18">
      <c r="A11" s="209" t="s">
        <v>14</v>
      </c>
      <c r="B11" s="209" t="s">
        <v>31</v>
      </c>
      <c r="C11" s="209" t="s">
        <v>47</v>
      </c>
      <c r="D11" s="209" t="s">
        <v>24</v>
      </c>
      <c r="E11" s="209" t="s">
        <v>18</v>
      </c>
      <c r="F11" s="209" t="s">
        <v>180</v>
      </c>
      <c r="G11" s="209" t="s">
        <v>20</v>
      </c>
      <c r="H11" s="246" t="s">
        <v>246</v>
      </c>
      <c r="I11" s="244">
        <v>45968</v>
      </c>
      <c r="J11" s="207">
        <v>20577</v>
      </c>
      <c r="K11" s="207">
        <v>21367</v>
      </c>
      <c r="L11" s="207">
        <v>21827</v>
      </c>
      <c r="M11" s="207"/>
      <c r="N11" s="207">
        <v>23132</v>
      </c>
      <c r="O11" s="207"/>
      <c r="P11" s="242">
        <v>45945</v>
      </c>
      <c r="Q11" s="233" t="s">
        <v>241</v>
      </c>
      <c r="R11" s="240">
        <v>45991</v>
      </c>
    </row>
    <row r="12" spans="1:18">
      <c r="A12" s="202" t="s">
        <v>14</v>
      </c>
      <c r="B12" s="204" t="s">
        <v>31</v>
      </c>
      <c r="C12" s="204" t="s">
        <v>168</v>
      </c>
      <c r="D12" s="202" t="s">
        <v>165</v>
      </c>
      <c r="E12" s="202" t="s">
        <v>18</v>
      </c>
      <c r="F12" s="202" t="s">
        <v>169</v>
      </c>
      <c r="G12" s="202" t="s">
        <v>20</v>
      </c>
      <c r="H12" s="247" t="s">
        <v>51</v>
      </c>
      <c r="I12" s="244">
        <v>45968</v>
      </c>
      <c r="J12" s="207">
        <v>111391</v>
      </c>
      <c r="K12" s="207">
        <v>112350</v>
      </c>
      <c r="L12" s="207">
        <v>113310</v>
      </c>
      <c r="M12" s="207"/>
      <c r="N12" s="207">
        <v>0</v>
      </c>
      <c r="O12" s="207"/>
      <c r="P12" s="240">
        <v>45965</v>
      </c>
      <c r="Q12" s="233" t="s">
        <v>241</v>
      </c>
      <c r="R12" s="240">
        <v>45996</v>
      </c>
    </row>
    <row r="14" spans="1:18">
      <c r="A14" s="169" t="s">
        <v>1</v>
      </c>
      <c r="B14" s="170"/>
      <c r="C14" s="170"/>
      <c r="D14" s="170"/>
      <c r="E14" s="170"/>
      <c r="F14" s="255"/>
      <c r="G14" s="170"/>
      <c r="H14" s="170"/>
      <c r="I14" s="170"/>
      <c r="J14" s="170"/>
      <c r="K14" s="170"/>
      <c r="L14" s="170"/>
      <c r="M14" s="170"/>
      <c r="N14" s="170"/>
      <c r="O14" s="170"/>
      <c r="P14" s="228"/>
      <c r="Q14" s="171"/>
      <c r="R14" s="172"/>
    </row>
    <row r="15" spans="1:18" hidden="1">
      <c r="A15" s="193" t="s">
        <v>2</v>
      </c>
      <c r="B15" s="193" t="s">
        <v>3</v>
      </c>
      <c r="C15" s="193" t="s">
        <v>4</v>
      </c>
      <c r="D15" s="193" t="s">
        <v>5</v>
      </c>
      <c r="E15" s="193" t="s">
        <v>6</v>
      </c>
      <c r="F15" s="193" t="s">
        <v>7</v>
      </c>
      <c r="G15" s="193" t="s">
        <v>8</v>
      </c>
      <c r="H15" s="193" t="s">
        <v>9</v>
      </c>
      <c r="I15" s="193" t="s">
        <v>10</v>
      </c>
      <c r="J15" s="193" t="s">
        <v>247</v>
      </c>
      <c r="K15" s="216" t="s">
        <v>234</v>
      </c>
      <c r="L15" s="216" t="s">
        <v>235</v>
      </c>
      <c r="M15" s="216" t="s">
        <v>236</v>
      </c>
      <c r="N15" s="216" t="s">
        <v>237</v>
      </c>
      <c r="O15" s="216"/>
      <c r="P15" s="230" t="s">
        <v>238</v>
      </c>
      <c r="Q15" s="231" t="s">
        <v>248</v>
      </c>
      <c r="R15" s="232" t="s">
        <v>240</v>
      </c>
    </row>
    <row r="16" spans="1:18" hidden="1">
      <c r="A16" s="198" t="s">
        <v>96</v>
      </c>
      <c r="B16" s="198" t="s">
        <v>97</v>
      </c>
      <c r="C16" s="198" t="s">
        <v>98</v>
      </c>
      <c r="D16" s="198" t="s">
        <v>99</v>
      </c>
      <c r="E16" s="198" t="s">
        <v>18</v>
      </c>
      <c r="F16" s="198" t="s">
        <v>100</v>
      </c>
      <c r="G16" s="198" t="s">
        <v>20</v>
      </c>
      <c r="H16" s="200" t="s">
        <v>101</v>
      </c>
      <c r="I16" s="161">
        <v>45912</v>
      </c>
      <c r="J16" s="201">
        <f>SUM(K16:N16)</f>
        <v>-252</v>
      </c>
      <c r="K16" s="207">
        <f>K3-$J3</f>
        <v>0</v>
      </c>
      <c r="L16" s="207">
        <f t="shared" ref="L16:N25" si="0">L3-$J3</f>
        <v>-84</v>
      </c>
      <c r="M16" s="207">
        <f t="shared" si="0"/>
        <v>-84</v>
      </c>
      <c r="N16" s="207">
        <f t="shared" si="0"/>
        <v>-84</v>
      </c>
      <c r="O16" s="207"/>
      <c r="P16" s="141">
        <v>45891</v>
      </c>
      <c r="Q16" s="218"/>
      <c r="R16" s="98"/>
    </row>
    <row r="17" spans="1:18" hidden="1">
      <c r="A17" s="198" t="s">
        <v>14</v>
      </c>
      <c r="B17" s="198" t="s">
        <v>126</v>
      </c>
      <c r="C17" s="198" t="s">
        <v>32</v>
      </c>
      <c r="D17" s="198" t="s">
        <v>24</v>
      </c>
      <c r="E17" s="198" t="s">
        <v>18</v>
      </c>
      <c r="F17" s="198" t="s">
        <v>139</v>
      </c>
      <c r="G17" s="197" t="s">
        <v>20</v>
      </c>
      <c r="H17" s="199" t="s">
        <v>66</v>
      </c>
      <c r="I17" s="161">
        <v>45912</v>
      </c>
      <c r="J17" s="201">
        <f t="shared" ref="J17:J25" si="1">SUM(K17:N17)</f>
        <v>-18755</v>
      </c>
      <c r="K17" s="207">
        <f t="shared" ref="K17:K25" si="2">K4-$J4</f>
        <v>1103</v>
      </c>
      <c r="L17" s="207">
        <f t="shared" si="0"/>
        <v>-25589</v>
      </c>
      <c r="M17" s="207">
        <f t="shared" si="0"/>
        <v>2683</v>
      </c>
      <c r="N17" s="207">
        <f t="shared" si="0"/>
        <v>3048</v>
      </c>
      <c r="O17" s="207"/>
      <c r="P17" s="141">
        <v>45896</v>
      </c>
      <c r="Q17" s="218" t="s">
        <v>120</v>
      </c>
      <c r="R17" s="99">
        <v>45921</v>
      </c>
    </row>
    <row r="18" spans="1:18" hidden="1">
      <c r="A18" s="198" t="s">
        <v>14</v>
      </c>
      <c r="B18" s="198" t="s">
        <v>92</v>
      </c>
      <c r="C18" s="198" t="s">
        <v>49</v>
      </c>
      <c r="D18" s="198" t="s">
        <v>24</v>
      </c>
      <c r="E18" s="198" t="s">
        <v>18</v>
      </c>
      <c r="F18" s="198" t="s">
        <v>93</v>
      </c>
      <c r="G18" s="198" t="s">
        <v>20</v>
      </c>
      <c r="H18" s="200" t="s">
        <v>94</v>
      </c>
      <c r="I18" s="161">
        <v>45912</v>
      </c>
      <c r="J18" s="201">
        <f t="shared" si="1"/>
        <v>82352</v>
      </c>
      <c r="K18" s="207">
        <f t="shared" si="2"/>
        <v>19620</v>
      </c>
      <c r="L18" s="207">
        <f t="shared" si="0"/>
        <v>20299</v>
      </c>
      <c r="M18" s="207">
        <f t="shared" si="0"/>
        <v>20708</v>
      </c>
      <c r="N18" s="207">
        <f t="shared" si="0"/>
        <v>21725</v>
      </c>
      <c r="O18" s="207"/>
      <c r="P18" s="141">
        <v>45908</v>
      </c>
      <c r="Q18" s="182" t="s">
        <v>194</v>
      </c>
      <c r="R18" s="99">
        <v>45919</v>
      </c>
    </row>
    <row r="19" spans="1:18" hidden="1">
      <c r="A19" s="197" t="s">
        <v>14</v>
      </c>
      <c r="B19" s="197" t="s">
        <v>15</v>
      </c>
      <c r="C19" s="198" t="s">
        <v>16</v>
      </c>
      <c r="D19" s="197" t="s">
        <v>17</v>
      </c>
      <c r="E19" s="197" t="s">
        <v>18</v>
      </c>
      <c r="F19" s="197" t="s">
        <v>19</v>
      </c>
      <c r="G19" s="197" t="s">
        <v>20</v>
      </c>
      <c r="H19" s="199" t="s">
        <v>21</v>
      </c>
      <c r="I19" s="161">
        <v>45912</v>
      </c>
      <c r="J19" s="201">
        <f t="shared" si="1"/>
        <v>525620</v>
      </c>
      <c r="K19" s="207">
        <f t="shared" si="2"/>
        <v>174247</v>
      </c>
      <c r="L19" s="207">
        <f t="shared" si="0"/>
        <v>174922</v>
      </c>
      <c r="M19" s="207">
        <f t="shared" si="0"/>
        <v>0</v>
      </c>
      <c r="N19" s="207">
        <f t="shared" si="0"/>
        <v>176451</v>
      </c>
      <c r="O19" s="207"/>
      <c r="P19" s="141">
        <v>45916</v>
      </c>
      <c r="Q19" s="182" t="s">
        <v>194</v>
      </c>
      <c r="R19" s="99">
        <v>45924</v>
      </c>
    </row>
    <row r="20" spans="1:18" hidden="1">
      <c r="A20" s="198" t="s">
        <v>14</v>
      </c>
      <c r="B20" s="198" t="s">
        <v>126</v>
      </c>
      <c r="C20" s="198" t="s">
        <v>23</v>
      </c>
      <c r="D20" s="198" t="s">
        <v>24</v>
      </c>
      <c r="E20" s="198" t="s">
        <v>18</v>
      </c>
      <c r="F20" s="198" t="s">
        <v>176</v>
      </c>
      <c r="G20" s="197" t="s">
        <v>20</v>
      </c>
      <c r="H20" s="199" t="s">
        <v>66</v>
      </c>
      <c r="I20" s="161">
        <v>45912</v>
      </c>
      <c r="J20" s="201">
        <f t="shared" si="1"/>
        <v>4015</v>
      </c>
      <c r="K20" s="207">
        <f t="shared" si="2"/>
        <v>344</v>
      </c>
      <c r="L20" s="207">
        <f t="shared" si="0"/>
        <v>705</v>
      </c>
      <c r="M20" s="207">
        <f t="shared" si="0"/>
        <v>1187</v>
      </c>
      <c r="N20" s="207">
        <f t="shared" si="0"/>
        <v>1779</v>
      </c>
      <c r="O20" s="207"/>
      <c r="P20" s="141">
        <v>45901</v>
      </c>
      <c r="Q20" s="182" t="s">
        <v>120</v>
      </c>
      <c r="R20" s="99">
        <v>45920</v>
      </c>
    </row>
    <row r="21" spans="1:18" hidden="1">
      <c r="A21" s="198" t="s">
        <v>14</v>
      </c>
      <c r="B21" s="198" t="s">
        <v>27</v>
      </c>
      <c r="C21" s="198" t="s">
        <v>28</v>
      </c>
      <c r="D21" s="198" t="s">
        <v>17</v>
      </c>
      <c r="E21" s="198" t="s">
        <v>18</v>
      </c>
      <c r="F21" s="198" t="s">
        <v>29</v>
      </c>
      <c r="G21" s="197" t="s">
        <v>20</v>
      </c>
      <c r="H21" s="199" t="s">
        <v>30</v>
      </c>
      <c r="I21" s="161">
        <v>45912</v>
      </c>
      <c r="J21" s="201">
        <f t="shared" si="1"/>
        <v>8177</v>
      </c>
      <c r="K21" s="207">
        <f>K8-$J8</f>
        <v>789</v>
      </c>
      <c r="L21" s="207">
        <f t="shared" si="0"/>
        <v>1664</v>
      </c>
      <c r="M21" s="207">
        <f t="shared" si="0"/>
        <v>2321</v>
      </c>
      <c r="N21" s="207">
        <f t="shared" si="0"/>
        <v>3403</v>
      </c>
      <c r="O21" s="207"/>
      <c r="P21" s="141">
        <v>45904</v>
      </c>
      <c r="Q21" s="218" t="s">
        <v>120</v>
      </c>
      <c r="R21" s="99">
        <v>45926</v>
      </c>
    </row>
    <row r="22" spans="1:18" hidden="1">
      <c r="A22" s="197" t="s">
        <v>14</v>
      </c>
      <c r="B22" s="197" t="s">
        <v>126</v>
      </c>
      <c r="C22" s="198" t="s">
        <v>52</v>
      </c>
      <c r="D22" s="197" t="s">
        <v>24</v>
      </c>
      <c r="E22" s="197" t="s">
        <v>18</v>
      </c>
      <c r="F22" s="197" t="s">
        <v>167</v>
      </c>
      <c r="G22" s="197" t="s">
        <v>20</v>
      </c>
      <c r="H22" s="199" t="s">
        <v>132</v>
      </c>
      <c r="I22" s="161">
        <v>45912</v>
      </c>
      <c r="J22" s="201">
        <f t="shared" si="1"/>
        <v>-24511</v>
      </c>
      <c r="K22" s="207">
        <f>K9-$J9</f>
        <v>474</v>
      </c>
      <c r="L22" s="207">
        <f t="shared" si="0"/>
        <v>923</v>
      </c>
      <c r="M22" s="207">
        <f t="shared" si="0"/>
        <v>-12954</v>
      </c>
      <c r="N22" s="207">
        <f t="shared" si="0"/>
        <v>-12954</v>
      </c>
      <c r="O22" s="251"/>
      <c r="P22" s="59">
        <v>45905</v>
      </c>
      <c r="Q22" s="184" t="s">
        <v>120</v>
      </c>
      <c r="R22" s="99">
        <v>45924</v>
      </c>
    </row>
    <row r="23" spans="1:18" hidden="1">
      <c r="A23" s="198" t="s">
        <v>14</v>
      </c>
      <c r="B23" s="198" t="s">
        <v>164</v>
      </c>
      <c r="C23" s="198" t="s">
        <v>41</v>
      </c>
      <c r="D23" s="198" t="s">
        <v>165</v>
      </c>
      <c r="E23" s="198" t="s">
        <v>18</v>
      </c>
      <c r="F23" s="198" t="s">
        <v>166</v>
      </c>
      <c r="G23" s="198" t="s">
        <v>20</v>
      </c>
      <c r="H23" s="200" t="s">
        <v>91</v>
      </c>
      <c r="I23" s="161">
        <v>45912</v>
      </c>
      <c r="J23" s="201">
        <f t="shared" si="1"/>
        <v>-14641</v>
      </c>
      <c r="K23" s="207">
        <f t="shared" si="2"/>
        <v>587</v>
      </c>
      <c r="L23" s="207">
        <f t="shared" si="0"/>
        <v>1486</v>
      </c>
      <c r="M23" s="207">
        <f t="shared" si="0"/>
        <v>-19333</v>
      </c>
      <c r="N23" s="207">
        <f t="shared" si="0"/>
        <v>2619</v>
      </c>
      <c r="O23" s="207"/>
      <c r="P23" s="141">
        <v>45918</v>
      </c>
      <c r="Q23" s="184" t="s">
        <v>194</v>
      </c>
      <c r="R23" s="99">
        <v>45923</v>
      </c>
    </row>
    <row r="24" spans="1:18" hidden="1">
      <c r="A24" s="209" t="s">
        <v>14</v>
      </c>
      <c r="B24" s="209" t="s">
        <v>31</v>
      </c>
      <c r="C24" s="209" t="s">
        <v>47</v>
      </c>
      <c r="D24" s="209" t="s">
        <v>24</v>
      </c>
      <c r="E24" s="209" t="s">
        <v>18</v>
      </c>
      <c r="F24" s="209" t="s">
        <v>180</v>
      </c>
      <c r="G24" s="209" t="s">
        <v>20</v>
      </c>
      <c r="H24" s="217" t="s">
        <v>163</v>
      </c>
      <c r="I24" s="161">
        <v>45912</v>
      </c>
      <c r="J24" s="201">
        <f t="shared" si="1"/>
        <v>-15982</v>
      </c>
      <c r="K24" s="207">
        <f t="shared" si="2"/>
        <v>790</v>
      </c>
      <c r="L24" s="207">
        <f t="shared" si="0"/>
        <v>1250</v>
      </c>
      <c r="M24" s="207">
        <f t="shared" si="0"/>
        <v>-20577</v>
      </c>
      <c r="N24" s="207">
        <f t="shared" si="0"/>
        <v>2555</v>
      </c>
      <c r="O24" s="207"/>
      <c r="P24" s="141">
        <v>45901</v>
      </c>
      <c r="Q24" s="184" t="s">
        <v>120</v>
      </c>
      <c r="R24" s="99">
        <v>45922</v>
      </c>
    </row>
    <row r="25" spans="1:18" hidden="1">
      <c r="A25" s="202" t="s">
        <v>14</v>
      </c>
      <c r="B25" s="204" t="s">
        <v>31</v>
      </c>
      <c r="C25" s="204" t="s">
        <v>168</v>
      </c>
      <c r="D25" s="202" t="s">
        <v>165</v>
      </c>
      <c r="E25" s="202" t="s">
        <v>18</v>
      </c>
      <c r="F25" s="202" t="s">
        <v>169</v>
      </c>
      <c r="G25" s="202" t="s">
        <v>20</v>
      </c>
      <c r="H25" s="202" t="s">
        <v>91</v>
      </c>
      <c r="I25" s="161">
        <v>45912</v>
      </c>
      <c r="J25" s="201">
        <f t="shared" si="1"/>
        <v>-219904</v>
      </c>
      <c r="K25" s="207">
        <f t="shared" si="2"/>
        <v>959</v>
      </c>
      <c r="L25" s="207">
        <f t="shared" si="0"/>
        <v>1919</v>
      </c>
      <c r="M25" s="207">
        <f t="shared" si="0"/>
        <v>-111391</v>
      </c>
      <c r="N25" s="207">
        <f t="shared" si="0"/>
        <v>-111391</v>
      </c>
      <c r="O25" s="207"/>
      <c r="P25" s="141">
        <v>45905</v>
      </c>
      <c r="Q25" s="184" t="s">
        <v>120</v>
      </c>
      <c r="R25" s="99">
        <v>45922</v>
      </c>
    </row>
    <row r="26" spans="1:18" ht="14.95" thickBot="1"/>
    <row r="27" spans="1:18" ht="28.55">
      <c r="A27" s="319" t="s">
        <v>249</v>
      </c>
      <c r="B27" s="320"/>
      <c r="C27" s="320"/>
      <c r="D27" s="320"/>
      <c r="E27" s="320"/>
      <c r="F27" s="226"/>
      <c r="G27" s="250" t="s">
        <v>238</v>
      </c>
      <c r="H27" s="259" t="s">
        <v>257</v>
      </c>
    </row>
    <row r="28" spans="1:18" ht="14.95" thickBot="1">
      <c r="A28" s="227" t="s">
        <v>250</v>
      </c>
      <c r="B28" s="222" t="s">
        <v>234</v>
      </c>
      <c r="C28" s="222" t="s">
        <v>235</v>
      </c>
      <c r="D28" s="222" t="s">
        <v>236</v>
      </c>
      <c r="E28" s="223" t="s">
        <v>237</v>
      </c>
      <c r="F28" s="223" t="s">
        <v>254</v>
      </c>
      <c r="G28" s="224" t="s">
        <v>251</v>
      </c>
      <c r="H28" s="225"/>
      <c r="P28"/>
      <c r="Q28" s="229"/>
    </row>
    <row r="29" spans="1:18" ht="14.95" thickBot="1">
      <c r="A29" s="252" t="s">
        <v>98</v>
      </c>
      <c r="B29" s="253">
        <f>K3-J3</f>
        <v>0</v>
      </c>
      <c r="C29" s="254">
        <f>L3-K3</f>
        <v>-84</v>
      </c>
      <c r="D29" s="254">
        <f>M3-L3</f>
        <v>0</v>
      </c>
      <c r="E29" s="254">
        <v>0</v>
      </c>
      <c r="F29" s="256"/>
      <c r="G29" s="257">
        <f>SUM(B29:F29)</f>
        <v>-84</v>
      </c>
      <c r="H29" s="239">
        <f>R3</f>
        <v>0</v>
      </c>
      <c r="P29"/>
      <c r="Q29" s="229"/>
    </row>
    <row r="30" spans="1:18" ht="14.95" thickBot="1">
      <c r="A30" s="219" t="s">
        <v>32</v>
      </c>
      <c r="B30" s="253">
        <f t="shared" ref="B30:F38" si="3">K4-J4</f>
        <v>1103</v>
      </c>
      <c r="C30" s="254">
        <f t="shared" si="3"/>
        <v>-26692</v>
      </c>
      <c r="D30" s="254">
        <f t="shared" si="3"/>
        <v>28272</v>
      </c>
      <c r="E30" s="254">
        <f t="shared" si="3"/>
        <v>365</v>
      </c>
      <c r="F30" s="254">
        <f t="shared" si="3"/>
        <v>-28637</v>
      </c>
      <c r="G30" s="257">
        <f>SUM(B30:F30)</f>
        <v>-25589</v>
      </c>
      <c r="H30" s="239">
        <f t="shared" ref="H30:H38" si="4">R4</f>
        <v>45988</v>
      </c>
      <c r="P30"/>
      <c r="Q30" s="229"/>
    </row>
    <row r="31" spans="1:18" ht="14.95" thickBot="1">
      <c r="A31" s="219" t="s">
        <v>49</v>
      </c>
      <c r="B31" s="253">
        <f t="shared" si="3"/>
        <v>19620</v>
      </c>
      <c r="C31" s="254">
        <f t="shared" si="3"/>
        <v>679</v>
      </c>
      <c r="D31" s="254">
        <f t="shared" si="3"/>
        <v>409</v>
      </c>
      <c r="E31" s="254">
        <f t="shared" si="3"/>
        <v>1017</v>
      </c>
      <c r="F31" s="254">
        <f t="shared" si="3"/>
        <v>-21725</v>
      </c>
      <c r="G31" s="257">
        <f t="shared" ref="G31:G38" si="5">SUM(B31:F31)</f>
        <v>0</v>
      </c>
      <c r="H31" s="239">
        <f t="shared" si="4"/>
        <v>45991</v>
      </c>
      <c r="P31"/>
      <c r="Q31" s="229"/>
    </row>
    <row r="32" spans="1:18" ht="14.95" thickBot="1">
      <c r="A32" s="219" t="s">
        <v>16</v>
      </c>
      <c r="B32" s="253">
        <f t="shared" si="3"/>
        <v>174247</v>
      </c>
      <c r="C32" s="254">
        <f t="shared" si="3"/>
        <v>675</v>
      </c>
      <c r="D32" s="254">
        <f t="shared" si="3"/>
        <v>-174922</v>
      </c>
      <c r="E32" s="254">
        <f t="shared" si="3"/>
        <v>176451</v>
      </c>
      <c r="F32" s="254">
        <f t="shared" si="3"/>
        <v>-176451</v>
      </c>
      <c r="G32" s="257">
        <f t="shared" si="5"/>
        <v>0</v>
      </c>
      <c r="H32" s="239">
        <f>R6</f>
        <v>45991</v>
      </c>
      <c r="P32"/>
      <c r="Q32" s="229"/>
    </row>
    <row r="33" spans="1:17" ht="14.95" thickBot="1">
      <c r="A33" s="219" t="s">
        <v>23</v>
      </c>
      <c r="B33" s="253">
        <f t="shared" si="3"/>
        <v>344</v>
      </c>
      <c r="C33" s="254">
        <f t="shared" si="3"/>
        <v>361</v>
      </c>
      <c r="D33" s="254">
        <f t="shared" si="3"/>
        <v>482</v>
      </c>
      <c r="E33" s="254">
        <f t="shared" si="3"/>
        <v>592</v>
      </c>
      <c r="F33" s="254">
        <f t="shared" si="3"/>
        <v>-27389</v>
      </c>
      <c r="G33" s="257">
        <f t="shared" si="5"/>
        <v>-25610</v>
      </c>
      <c r="H33" s="239">
        <f t="shared" si="4"/>
        <v>45993</v>
      </c>
      <c r="P33"/>
      <c r="Q33" s="229"/>
    </row>
    <row r="34" spans="1:17" ht="14.95" thickBot="1">
      <c r="A34" s="219" t="s">
        <v>28</v>
      </c>
      <c r="B34" s="253">
        <f>K8-J8</f>
        <v>789</v>
      </c>
      <c r="C34" s="254">
        <f>L8-K8</f>
        <v>875</v>
      </c>
      <c r="D34" s="254">
        <f t="shared" si="3"/>
        <v>657</v>
      </c>
      <c r="E34" s="254">
        <f t="shared" si="3"/>
        <v>1082</v>
      </c>
      <c r="F34" s="254">
        <f t="shared" si="3"/>
        <v>-113217</v>
      </c>
      <c r="G34" s="257">
        <f t="shared" si="5"/>
        <v>-109814</v>
      </c>
      <c r="H34" s="239">
        <f t="shared" si="4"/>
        <v>45992</v>
      </c>
      <c r="P34"/>
      <c r="Q34" s="229"/>
    </row>
    <row r="35" spans="1:17" ht="14.95" thickBot="1">
      <c r="A35" s="219" t="s">
        <v>52</v>
      </c>
      <c r="B35" s="253">
        <f>K9-J9</f>
        <v>474</v>
      </c>
      <c r="C35" s="254">
        <f>L9-K9</f>
        <v>449</v>
      </c>
      <c r="D35" s="254">
        <f t="shared" si="3"/>
        <v>-13877</v>
      </c>
      <c r="E35" s="254">
        <f t="shared" si="3"/>
        <v>0</v>
      </c>
      <c r="F35" s="254">
        <f t="shared" si="3"/>
        <v>0</v>
      </c>
      <c r="G35" s="257">
        <f t="shared" si="5"/>
        <v>-12954</v>
      </c>
      <c r="H35" s="239">
        <f t="shared" si="4"/>
        <v>45966</v>
      </c>
      <c r="P35"/>
      <c r="Q35" s="229"/>
    </row>
    <row r="36" spans="1:17" ht="14.95" thickBot="1">
      <c r="A36" s="219" t="s">
        <v>41</v>
      </c>
      <c r="B36" s="253">
        <f t="shared" si="3"/>
        <v>587</v>
      </c>
      <c r="C36" s="254">
        <f t="shared" si="3"/>
        <v>899</v>
      </c>
      <c r="D36" s="254">
        <f t="shared" si="3"/>
        <v>-20819</v>
      </c>
      <c r="E36" s="254">
        <f t="shared" si="3"/>
        <v>21952</v>
      </c>
      <c r="F36" s="254">
        <f t="shared" si="3"/>
        <v>-21952</v>
      </c>
      <c r="G36" s="257">
        <f t="shared" si="5"/>
        <v>-19333</v>
      </c>
      <c r="H36" s="239">
        <f t="shared" si="4"/>
        <v>45997</v>
      </c>
      <c r="P36"/>
      <c r="Q36" s="229"/>
    </row>
    <row r="37" spans="1:17" ht="14.95" thickBot="1">
      <c r="A37" s="220" t="s">
        <v>47</v>
      </c>
      <c r="B37" s="253">
        <f t="shared" si="3"/>
        <v>790</v>
      </c>
      <c r="C37" s="254">
        <f t="shared" si="3"/>
        <v>460</v>
      </c>
      <c r="D37" s="254">
        <f t="shared" si="3"/>
        <v>-21827</v>
      </c>
      <c r="E37" s="254">
        <f t="shared" si="3"/>
        <v>23132</v>
      </c>
      <c r="F37" s="254">
        <f t="shared" si="3"/>
        <v>-23132</v>
      </c>
      <c r="G37" s="257">
        <f t="shared" si="5"/>
        <v>-20577</v>
      </c>
      <c r="H37" s="239">
        <f t="shared" si="4"/>
        <v>45991</v>
      </c>
      <c r="P37"/>
      <c r="Q37" s="229"/>
    </row>
    <row r="38" spans="1:17" ht="14.95" thickBot="1">
      <c r="A38" s="221" t="s">
        <v>168</v>
      </c>
      <c r="B38" s="253">
        <f t="shared" si="3"/>
        <v>959</v>
      </c>
      <c r="C38" s="254">
        <f t="shared" si="3"/>
        <v>960</v>
      </c>
      <c r="D38" s="254">
        <f t="shared" si="3"/>
        <v>-113310</v>
      </c>
      <c r="E38" s="254">
        <f t="shared" si="3"/>
        <v>0</v>
      </c>
      <c r="F38" s="254">
        <f t="shared" si="3"/>
        <v>0</v>
      </c>
      <c r="G38" s="257">
        <f t="shared" si="5"/>
        <v>-111391</v>
      </c>
      <c r="H38" s="239">
        <f t="shared" si="4"/>
        <v>45996</v>
      </c>
      <c r="P38"/>
      <c r="Q38" s="229"/>
    </row>
  </sheetData>
  <autoFilter ref="A2:R2">
    <sortState ref="A3:R12">
      <sortCondition ref="C2"/>
    </sortState>
  </autoFilter>
  <mergeCells count="1">
    <mergeCell ref="A27:E27"/>
  </mergeCells>
  <conditionalFormatting sqref="B29:B38 C30:E30 F30:G38 E31:E38">
    <cfRule type="cellIs" dxfId="143" priority="16" operator="between">
      <formula>1</formula>
      <formula>299</formula>
    </cfRule>
  </conditionalFormatting>
  <conditionalFormatting sqref="B29:E38 G29:G38 F30:F38">
    <cfRule type="cellIs" priority="17" operator="equal">
      <formula>0</formula>
    </cfRule>
  </conditionalFormatting>
  <conditionalFormatting sqref="C29:E38 G29:G38 F30:F38">
    <cfRule type="cellIs" dxfId="142" priority="11" operator="between">
      <formula>1</formula>
      <formula>600</formula>
    </cfRule>
    <cfRule type="cellIs" dxfId="141" priority="12" operator="between">
      <formula>600</formula>
      <formula>1000</formula>
    </cfRule>
    <cfRule type="cellIs" dxfId="140" priority="13" operator="greaterThan">
      <formula>1000</formula>
    </cfRule>
  </conditionalFormatting>
  <conditionalFormatting sqref="C30:E30 F30:G38 E31:E38 B29:B38">
    <cfRule type="cellIs" dxfId="139" priority="14" operator="greaterThan">
      <formula>500</formula>
    </cfRule>
    <cfRule type="cellIs" dxfId="138" priority="15" operator="between">
      <formula>300</formula>
      <formula>500</formula>
    </cfRule>
  </conditionalFormatting>
  <conditionalFormatting sqref="D29:E38 G29:G38 F30:F38">
    <cfRule type="cellIs" dxfId="137" priority="8" operator="greaterThan">
      <formula>1501</formula>
    </cfRule>
    <cfRule type="cellIs" dxfId="136" priority="9" operator="between">
      <formula>1</formula>
      <formula>900</formula>
    </cfRule>
    <cfRule type="cellIs" dxfId="135" priority="10" operator="between">
      <formula>900</formula>
      <formula>1500</formula>
    </cfRule>
  </conditionalFormatting>
  <conditionalFormatting sqref="E29:E38 F30:F38">
    <cfRule type="cellIs" dxfId="134" priority="7" operator="greaterThan">
      <formula>2000</formula>
    </cfRule>
  </conditionalFormatting>
  <conditionalFormatting sqref="E29:E38 G29:G38 F30:F38">
    <cfRule type="cellIs" dxfId="133" priority="5" operator="between">
      <formula>1201</formula>
      <formula>2000</formula>
    </cfRule>
    <cfRule type="cellIs" dxfId="132" priority="6" operator="between">
      <formula>1</formula>
      <formula>1200</formula>
    </cfRule>
  </conditionalFormatting>
  <conditionalFormatting sqref="G29:G38">
    <cfRule type="cellIs" dxfId="131" priority="1" operator="between">
      <formula>1500</formula>
      <formula>2000</formula>
    </cfRule>
    <cfRule type="cellIs" dxfId="130" priority="2" operator="between">
      <formula>1200</formula>
      <formula>2000</formula>
    </cfRule>
    <cfRule type="cellIs" dxfId="129" priority="3" operator="greaterThan">
      <formula>2000</formula>
    </cfRule>
  </conditionalFormatting>
  <conditionalFormatting sqref="H29:H38">
    <cfRule type="cellIs" dxfId="128" priority="4" operator="lessThan">
      <formula>$H$28</formula>
    </cfRule>
  </conditionalFormatting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view="pageBreakPreview" topLeftCell="B1" zoomScale="90" zoomScaleNormal="90" zoomScaleSheetLayoutView="90" workbookViewId="0">
      <selection activeCell="F6" sqref="F6"/>
    </sheetView>
  </sheetViews>
  <sheetFormatPr defaultColWidth="9.125" defaultRowHeight="14.3"/>
  <cols>
    <col min="1" max="1" width="16.125" customWidth="1"/>
    <col min="2" max="5" width="15.625" customWidth="1"/>
    <col min="6" max="6" width="11.125" customWidth="1"/>
    <col min="7" max="7" width="12.875" customWidth="1"/>
    <col min="8" max="8" width="19.5" bestFit="1" customWidth="1"/>
    <col min="9" max="9" width="13.625" bestFit="1" customWidth="1"/>
    <col min="10" max="10" width="11.125" bestFit="1" customWidth="1"/>
    <col min="11" max="13" width="11.125" customWidth="1"/>
    <col min="14" max="15" width="16.375" customWidth="1"/>
    <col min="16" max="16" width="19.875" style="229" bestFit="1" customWidth="1"/>
    <col min="17" max="17" width="26.875" bestFit="1" customWidth="1"/>
    <col min="18" max="18" width="18.375" bestFit="1" customWidth="1"/>
  </cols>
  <sheetData>
    <row r="1" spans="1:18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228"/>
      <c r="Q1" s="171"/>
      <c r="R1" s="172"/>
    </row>
    <row r="2" spans="1:18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232</v>
      </c>
      <c r="J2" s="193" t="s">
        <v>233</v>
      </c>
      <c r="K2" s="216" t="s">
        <v>234</v>
      </c>
      <c r="L2" s="216" t="s">
        <v>235</v>
      </c>
      <c r="M2" s="216" t="s">
        <v>236</v>
      </c>
      <c r="N2" s="216" t="s">
        <v>237</v>
      </c>
      <c r="O2" s="216" t="s">
        <v>254</v>
      </c>
      <c r="P2" s="236" t="s">
        <v>238</v>
      </c>
      <c r="Q2" s="261" t="s">
        <v>239</v>
      </c>
      <c r="R2" s="216" t="s">
        <v>240</v>
      </c>
    </row>
    <row r="3" spans="1:18">
      <c r="A3" s="198" t="s">
        <v>96</v>
      </c>
      <c r="B3" s="198" t="s">
        <v>97</v>
      </c>
      <c r="C3" s="238" t="s">
        <v>98</v>
      </c>
      <c r="D3" s="198" t="s">
        <v>99</v>
      </c>
      <c r="E3" s="198" t="s">
        <v>18</v>
      </c>
      <c r="F3" s="198" t="s">
        <v>256</v>
      </c>
      <c r="G3" s="198" t="s">
        <v>20</v>
      </c>
      <c r="H3" s="249"/>
      <c r="I3" s="244">
        <v>46031</v>
      </c>
      <c r="J3" s="207"/>
      <c r="K3" s="237"/>
      <c r="L3" s="237">
        <v>36024</v>
      </c>
      <c r="M3" s="207">
        <v>36338</v>
      </c>
      <c r="N3" s="207"/>
      <c r="O3" s="207"/>
      <c r="P3" s="242"/>
      <c r="Q3" s="233" t="s">
        <v>241</v>
      </c>
      <c r="R3" s="240"/>
    </row>
    <row r="4" spans="1:18">
      <c r="A4" s="198" t="s">
        <v>14</v>
      </c>
      <c r="B4" s="198" t="s">
        <v>126</v>
      </c>
      <c r="C4" s="238" t="s">
        <v>32</v>
      </c>
      <c r="D4" s="198" t="s">
        <v>24</v>
      </c>
      <c r="E4" s="198" t="s">
        <v>18</v>
      </c>
      <c r="F4" s="262" t="s">
        <v>139</v>
      </c>
      <c r="G4" s="197" t="s">
        <v>20</v>
      </c>
      <c r="H4" s="249"/>
      <c r="I4" s="244">
        <v>46031</v>
      </c>
      <c r="J4" s="207"/>
      <c r="K4" s="237"/>
      <c r="L4" s="237">
        <v>31508</v>
      </c>
      <c r="M4" s="207">
        <v>32013</v>
      </c>
      <c r="N4" s="207"/>
      <c r="O4" s="207"/>
      <c r="P4" s="242" t="s">
        <v>262</v>
      </c>
      <c r="Q4" s="233" t="s">
        <v>241</v>
      </c>
      <c r="R4" s="241" t="s">
        <v>263</v>
      </c>
    </row>
    <row r="5" spans="1:18">
      <c r="A5" s="198" t="s">
        <v>14</v>
      </c>
      <c r="B5" s="198" t="s">
        <v>92</v>
      </c>
      <c r="C5" s="235" t="s">
        <v>49</v>
      </c>
      <c r="D5" s="198" t="s">
        <v>24</v>
      </c>
      <c r="E5" s="198" t="s">
        <v>18</v>
      </c>
      <c r="F5" s="262" t="s">
        <v>93</v>
      </c>
      <c r="G5" s="198" t="s">
        <v>20</v>
      </c>
      <c r="H5" s="249"/>
      <c r="I5" s="244">
        <v>46031</v>
      </c>
      <c r="J5" s="207"/>
      <c r="K5" s="207"/>
      <c r="L5" s="207">
        <v>26082</v>
      </c>
      <c r="M5" s="207">
        <v>26776</v>
      </c>
      <c r="N5" s="207"/>
      <c r="O5" s="207">
        <v>27542</v>
      </c>
      <c r="P5" s="242" t="s">
        <v>271</v>
      </c>
      <c r="Q5" s="260" t="s">
        <v>259</v>
      </c>
      <c r="R5" s="242" t="s">
        <v>272</v>
      </c>
    </row>
    <row r="6" spans="1:18">
      <c r="A6" s="197" t="s">
        <v>14</v>
      </c>
      <c r="B6" s="197" t="s">
        <v>15</v>
      </c>
      <c r="C6" s="238" t="s">
        <v>16</v>
      </c>
      <c r="D6" s="197" t="s">
        <v>165</v>
      </c>
      <c r="E6" s="197" t="s">
        <v>18</v>
      </c>
      <c r="F6" s="263" t="s">
        <v>283</v>
      </c>
      <c r="G6" s="197" t="s">
        <v>20</v>
      </c>
      <c r="H6" s="245" t="s">
        <v>30</v>
      </c>
      <c r="I6" s="244">
        <v>46031</v>
      </c>
      <c r="J6" s="207">
        <v>178654</v>
      </c>
      <c r="K6" s="207"/>
      <c r="L6" s="207">
        <v>179243</v>
      </c>
      <c r="M6" s="207">
        <v>180112</v>
      </c>
      <c r="N6" s="207">
        <v>180703</v>
      </c>
      <c r="O6" s="207">
        <v>181311</v>
      </c>
      <c r="P6" s="242" t="s">
        <v>266</v>
      </c>
      <c r="Q6" s="260" t="s">
        <v>259</v>
      </c>
      <c r="R6" s="242" t="s">
        <v>272</v>
      </c>
    </row>
    <row r="7" spans="1:18">
      <c r="A7" s="198" t="s">
        <v>14</v>
      </c>
      <c r="B7" s="198" t="s">
        <v>126</v>
      </c>
      <c r="C7" s="238" t="s">
        <v>23</v>
      </c>
      <c r="D7" s="198" t="s">
        <v>24</v>
      </c>
      <c r="E7" s="198" t="s">
        <v>18</v>
      </c>
      <c r="F7" s="262" t="s">
        <v>176</v>
      </c>
      <c r="G7" s="197" t="s">
        <v>20</v>
      </c>
      <c r="H7" s="245" t="s">
        <v>255</v>
      </c>
      <c r="I7" s="244">
        <v>46031</v>
      </c>
      <c r="J7" s="207">
        <v>28717</v>
      </c>
      <c r="K7" s="207"/>
      <c r="L7" s="207">
        <v>29415</v>
      </c>
      <c r="M7" s="207">
        <v>29989</v>
      </c>
      <c r="N7" s="207"/>
      <c r="O7" s="207"/>
      <c r="P7" s="242" t="s">
        <v>260</v>
      </c>
      <c r="Q7" s="233" t="s">
        <v>241</v>
      </c>
      <c r="R7" s="241" t="s">
        <v>261</v>
      </c>
    </row>
    <row r="8" spans="1:18">
      <c r="A8" s="198" t="s">
        <v>14</v>
      </c>
      <c r="B8" s="198" t="s">
        <v>27</v>
      </c>
      <c r="C8" s="198" t="s">
        <v>28</v>
      </c>
      <c r="D8" s="198" t="s">
        <v>24</v>
      </c>
      <c r="E8" s="198" t="s">
        <v>18</v>
      </c>
      <c r="F8" s="262" t="s">
        <v>29</v>
      </c>
      <c r="G8" s="197" t="s">
        <v>20</v>
      </c>
      <c r="H8" s="245" t="s">
        <v>244</v>
      </c>
      <c r="I8" s="244">
        <v>46031</v>
      </c>
      <c r="J8" s="207">
        <v>116134</v>
      </c>
      <c r="K8" s="207"/>
      <c r="L8" s="207">
        <v>117036</v>
      </c>
      <c r="M8" s="207">
        <v>117703</v>
      </c>
      <c r="N8" s="207">
        <v>118404</v>
      </c>
      <c r="O8" s="207">
        <v>119233</v>
      </c>
      <c r="P8" s="240" t="s">
        <v>265</v>
      </c>
      <c r="Q8" s="260" t="s">
        <v>259</v>
      </c>
      <c r="R8" s="240" t="s">
        <v>268</v>
      </c>
    </row>
    <row r="9" spans="1:18">
      <c r="A9" s="197" t="s">
        <v>14</v>
      </c>
      <c r="B9" s="197" t="s">
        <v>126</v>
      </c>
      <c r="C9" s="238" t="s">
        <v>52</v>
      </c>
      <c r="D9" s="197" t="s">
        <v>24</v>
      </c>
      <c r="E9" s="197" t="s">
        <v>18</v>
      </c>
      <c r="F9" s="263" t="s">
        <v>167</v>
      </c>
      <c r="G9" s="197" t="s">
        <v>20</v>
      </c>
      <c r="H9" s="248" t="s">
        <v>245</v>
      </c>
      <c r="I9" s="244">
        <v>46031</v>
      </c>
      <c r="J9" s="207"/>
      <c r="K9" s="207"/>
      <c r="L9" s="207">
        <v>285</v>
      </c>
      <c r="M9" s="207">
        <v>441</v>
      </c>
      <c r="N9" s="207"/>
      <c r="O9" s="207"/>
      <c r="P9" s="243"/>
      <c r="Q9" s="233" t="s">
        <v>241</v>
      </c>
      <c r="R9" s="243"/>
    </row>
    <row r="10" spans="1:18">
      <c r="A10" s="198" t="s">
        <v>14</v>
      </c>
      <c r="B10" s="198" t="s">
        <v>164</v>
      </c>
      <c r="C10" s="198" t="s">
        <v>41</v>
      </c>
      <c r="D10" s="198" t="s">
        <v>24</v>
      </c>
      <c r="E10" s="198" t="s">
        <v>18</v>
      </c>
      <c r="F10" s="262" t="s">
        <v>258</v>
      </c>
      <c r="G10" s="198" t="s">
        <v>20</v>
      </c>
      <c r="H10" s="249"/>
      <c r="I10" s="244">
        <v>46031</v>
      </c>
      <c r="J10" s="207">
        <v>24337</v>
      </c>
      <c r="K10" s="234"/>
      <c r="L10" s="234">
        <v>26215</v>
      </c>
      <c r="M10" s="207">
        <v>27279</v>
      </c>
      <c r="N10" s="207"/>
      <c r="O10" s="207"/>
      <c r="P10" s="242" t="s">
        <v>267</v>
      </c>
      <c r="Q10" s="260" t="s">
        <v>259</v>
      </c>
      <c r="R10" s="242" t="s">
        <v>264</v>
      </c>
    </row>
    <row r="11" spans="1:18">
      <c r="A11" s="209" t="s">
        <v>14</v>
      </c>
      <c r="B11" s="209" t="s">
        <v>31</v>
      </c>
      <c r="C11" s="209" t="s">
        <v>47</v>
      </c>
      <c r="D11" s="209" t="s">
        <v>24</v>
      </c>
      <c r="E11" s="209" t="s">
        <v>18</v>
      </c>
      <c r="F11" s="264" t="s">
        <v>180</v>
      </c>
      <c r="G11" s="209" t="s">
        <v>20</v>
      </c>
      <c r="H11" s="246" t="s">
        <v>246</v>
      </c>
      <c r="I11" s="244">
        <v>46031</v>
      </c>
      <c r="J11" s="207"/>
      <c r="K11" s="207"/>
      <c r="L11" s="207">
        <v>26368</v>
      </c>
      <c r="M11" s="207">
        <v>27109</v>
      </c>
      <c r="N11" s="207">
        <v>119758</v>
      </c>
      <c r="O11" s="207">
        <v>27932</v>
      </c>
      <c r="P11" s="242" t="s">
        <v>268</v>
      </c>
      <c r="Q11" s="260" t="s">
        <v>269</v>
      </c>
      <c r="R11" s="240" t="s">
        <v>273</v>
      </c>
    </row>
    <row r="12" spans="1:18">
      <c r="A12" s="202" t="s">
        <v>14</v>
      </c>
      <c r="B12" s="204" t="s">
        <v>31</v>
      </c>
      <c r="C12" s="204" t="s">
        <v>270</v>
      </c>
      <c r="D12" s="202" t="s">
        <v>165</v>
      </c>
      <c r="E12" s="202" t="s">
        <v>18</v>
      </c>
      <c r="F12" s="265" t="s">
        <v>169</v>
      </c>
      <c r="G12" s="202" t="s">
        <v>20</v>
      </c>
      <c r="H12" s="247" t="s">
        <v>51</v>
      </c>
      <c r="I12" s="244">
        <v>46031</v>
      </c>
      <c r="J12" s="207">
        <v>0</v>
      </c>
      <c r="K12" s="207"/>
      <c r="L12" s="207">
        <v>119236</v>
      </c>
      <c r="M12" s="207">
        <v>120445</v>
      </c>
      <c r="N12" s="207">
        <v>121600</v>
      </c>
      <c r="O12" s="207">
        <v>122927</v>
      </c>
      <c r="P12" s="240" t="s">
        <v>266</v>
      </c>
      <c r="Q12" s="260" t="s">
        <v>269</v>
      </c>
      <c r="R12" s="240" t="s">
        <v>268</v>
      </c>
    </row>
    <row r="14" spans="1:18">
      <c r="A14" s="169" t="s">
        <v>1</v>
      </c>
      <c r="B14" s="170"/>
      <c r="C14" s="170"/>
      <c r="D14" s="170"/>
      <c r="E14" s="170"/>
      <c r="F14" s="255"/>
      <c r="G14" s="170"/>
      <c r="H14" s="170"/>
      <c r="I14" s="170"/>
      <c r="J14" s="170"/>
      <c r="K14" s="170"/>
      <c r="L14" s="170"/>
      <c r="M14" s="170"/>
      <c r="N14" s="170"/>
      <c r="O14" s="170"/>
      <c r="P14" s="228"/>
      <c r="Q14" s="171"/>
      <c r="R14" s="172"/>
    </row>
    <row r="15" spans="1:18" hidden="1">
      <c r="A15" s="193" t="s">
        <v>2</v>
      </c>
      <c r="B15" s="193" t="s">
        <v>3</v>
      </c>
      <c r="C15" s="193" t="s">
        <v>4</v>
      </c>
      <c r="D15" s="193" t="s">
        <v>5</v>
      </c>
      <c r="E15" s="193" t="s">
        <v>6</v>
      </c>
      <c r="F15" s="193" t="s">
        <v>7</v>
      </c>
      <c r="G15" s="193" t="s">
        <v>8</v>
      </c>
      <c r="H15" s="193" t="s">
        <v>9</v>
      </c>
      <c r="I15" s="193" t="s">
        <v>10</v>
      </c>
      <c r="J15" s="193" t="s">
        <v>247</v>
      </c>
      <c r="K15" s="216" t="s">
        <v>234</v>
      </c>
      <c r="L15" s="216" t="s">
        <v>235</v>
      </c>
      <c r="M15" s="216" t="s">
        <v>236</v>
      </c>
      <c r="N15" s="216" t="s">
        <v>237</v>
      </c>
      <c r="O15" s="216"/>
      <c r="P15" s="230" t="s">
        <v>238</v>
      </c>
      <c r="Q15" s="231" t="s">
        <v>248</v>
      </c>
      <c r="R15" s="232" t="s">
        <v>240</v>
      </c>
    </row>
    <row r="16" spans="1:18" hidden="1">
      <c r="A16" s="198" t="s">
        <v>96</v>
      </c>
      <c r="B16" s="198" t="s">
        <v>97</v>
      </c>
      <c r="C16" s="198" t="s">
        <v>98</v>
      </c>
      <c r="D16" s="198" t="s">
        <v>99</v>
      </c>
      <c r="E16" s="198" t="s">
        <v>18</v>
      </c>
      <c r="F16" s="198" t="s">
        <v>100</v>
      </c>
      <c r="G16" s="198" t="s">
        <v>20</v>
      </c>
      <c r="H16" s="200" t="s">
        <v>101</v>
      </c>
      <c r="I16" s="161">
        <v>45912</v>
      </c>
      <c r="J16" s="201">
        <f>SUM(K16:N16)</f>
        <v>72362</v>
      </c>
      <c r="K16" s="207">
        <f>K3-$J3</f>
        <v>0</v>
      </c>
      <c r="L16" s="207">
        <f t="shared" ref="L16:N25" si="0">L3-$J3</f>
        <v>36024</v>
      </c>
      <c r="M16" s="207">
        <f t="shared" si="0"/>
        <v>36338</v>
      </c>
      <c r="N16" s="207">
        <f t="shared" si="0"/>
        <v>0</v>
      </c>
      <c r="O16" s="207"/>
      <c r="P16" s="141">
        <v>45891</v>
      </c>
      <c r="Q16" s="218"/>
      <c r="R16" s="98"/>
    </row>
    <row r="17" spans="1:18" hidden="1">
      <c r="A17" s="198" t="s">
        <v>14</v>
      </c>
      <c r="B17" s="198" t="s">
        <v>126</v>
      </c>
      <c r="C17" s="198" t="s">
        <v>32</v>
      </c>
      <c r="D17" s="198" t="s">
        <v>24</v>
      </c>
      <c r="E17" s="198" t="s">
        <v>18</v>
      </c>
      <c r="F17" s="198" t="s">
        <v>139</v>
      </c>
      <c r="G17" s="197" t="s">
        <v>20</v>
      </c>
      <c r="H17" s="199" t="s">
        <v>66</v>
      </c>
      <c r="I17" s="161">
        <v>45912</v>
      </c>
      <c r="J17" s="201">
        <f t="shared" ref="J17:J25" si="1">SUM(K17:N17)</f>
        <v>63521</v>
      </c>
      <c r="K17" s="207">
        <f t="shared" ref="K17:K25" si="2">K4-$J4</f>
        <v>0</v>
      </c>
      <c r="L17" s="207">
        <f t="shared" si="0"/>
        <v>31508</v>
      </c>
      <c r="M17" s="207">
        <f t="shared" si="0"/>
        <v>32013</v>
      </c>
      <c r="N17" s="207">
        <f t="shared" si="0"/>
        <v>0</v>
      </c>
      <c r="O17" s="207"/>
      <c r="P17" s="141">
        <v>45896</v>
      </c>
      <c r="Q17" s="218" t="s">
        <v>120</v>
      </c>
      <c r="R17" s="99">
        <v>45921</v>
      </c>
    </row>
    <row r="18" spans="1:18" hidden="1">
      <c r="A18" s="198" t="s">
        <v>14</v>
      </c>
      <c r="B18" s="198" t="s">
        <v>92</v>
      </c>
      <c r="C18" s="198" t="s">
        <v>49</v>
      </c>
      <c r="D18" s="198" t="s">
        <v>24</v>
      </c>
      <c r="E18" s="198" t="s">
        <v>18</v>
      </c>
      <c r="F18" s="198" t="s">
        <v>93</v>
      </c>
      <c r="G18" s="198" t="s">
        <v>20</v>
      </c>
      <c r="H18" s="200" t="s">
        <v>94</v>
      </c>
      <c r="I18" s="161">
        <v>45912</v>
      </c>
      <c r="J18" s="201">
        <f t="shared" si="1"/>
        <v>52858</v>
      </c>
      <c r="K18" s="207">
        <f t="shared" si="2"/>
        <v>0</v>
      </c>
      <c r="L18" s="207">
        <f t="shared" si="0"/>
        <v>26082</v>
      </c>
      <c r="M18" s="207">
        <f t="shared" si="0"/>
        <v>26776</v>
      </c>
      <c r="N18" s="207">
        <f t="shared" si="0"/>
        <v>0</v>
      </c>
      <c r="O18" s="207"/>
      <c r="P18" s="141">
        <v>45908</v>
      </c>
      <c r="Q18" s="182" t="s">
        <v>194</v>
      </c>
      <c r="R18" s="99">
        <v>45919</v>
      </c>
    </row>
    <row r="19" spans="1:18" hidden="1">
      <c r="A19" s="197" t="s">
        <v>14</v>
      </c>
      <c r="B19" s="197" t="s">
        <v>15</v>
      </c>
      <c r="C19" s="198" t="s">
        <v>16</v>
      </c>
      <c r="D19" s="197" t="s">
        <v>17</v>
      </c>
      <c r="E19" s="197" t="s">
        <v>18</v>
      </c>
      <c r="F19" s="197" t="s">
        <v>19</v>
      </c>
      <c r="G19" s="197" t="s">
        <v>20</v>
      </c>
      <c r="H19" s="199" t="s">
        <v>21</v>
      </c>
      <c r="I19" s="161">
        <v>45912</v>
      </c>
      <c r="J19" s="201">
        <f t="shared" si="1"/>
        <v>-174558</v>
      </c>
      <c r="K19" s="207">
        <f t="shared" si="2"/>
        <v>-178654</v>
      </c>
      <c r="L19" s="207">
        <f t="shared" si="0"/>
        <v>589</v>
      </c>
      <c r="M19" s="207">
        <f t="shared" si="0"/>
        <v>1458</v>
      </c>
      <c r="N19" s="207">
        <f t="shared" si="0"/>
        <v>2049</v>
      </c>
      <c r="O19" s="207"/>
      <c r="P19" s="141">
        <v>45916</v>
      </c>
      <c r="Q19" s="182" t="s">
        <v>194</v>
      </c>
      <c r="R19" s="99">
        <v>45924</v>
      </c>
    </row>
    <row r="20" spans="1:18" hidden="1">
      <c r="A20" s="198" t="s">
        <v>14</v>
      </c>
      <c r="B20" s="198" t="s">
        <v>126</v>
      </c>
      <c r="C20" s="198" t="s">
        <v>23</v>
      </c>
      <c r="D20" s="198" t="s">
        <v>24</v>
      </c>
      <c r="E20" s="198" t="s">
        <v>18</v>
      </c>
      <c r="F20" s="198" t="s">
        <v>176</v>
      </c>
      <c r="G20" s="197" t="s">
        <v>20</v>
      </c>
      <c r="H20" s="199" t="s">
        <v>66</v>
      </c>
      <c r="I20" s="161">
        <v>45912</v>
      </c>
      <c r="J20" s="201">
        <f t="shared" si="1"/>
        <v>-55464</v>
      </c>
      <c r="K20" s="207">
        <f t="shared" si="2"/>
        <v>-28717</v>
      </c>
      <c r="L20" s="207">
        <f t="shared" si="0"/>
        <v>698</v>
      </c>
      <c r="M20" s="207">
        <f t="shared" si="0"/>
        <v>1272</v>
      </c>
      <c r="N20" s="207">
        <f t="shared" si="0"/>
        <v>-28717</v>
      </c>
      <c r="O20" s="207"/>
      <c r="P20" s="141">
        <v>45901</v>
      </c>
      <c r="Q20" s="182" t="s">
        <v>120</v>
      </c>
      <c r="R20" s="99">
        <v>45920</v>
      </c>
    </row>
    <row r="21" spans="1:18" hidden="1">
      <c r="A21" s="198" t="s">
        <v>14</v>
      </c>
      <c r="B21" s="198" t="s">
        <v>27</v>
      </c>
      <c r="C21" s="198" t="s">
        <v>28</v>
      </c>
      <c r="D21" s="198" t="s">
        <v>17</v>
      </c>
      <c r="E21" s="198" t="s">
        <v>18</v>
      </c>
      <c r="F21" s="198" t="s">
        <v>29</v>
      </c>
      <c r="G21" s="197" t="s">
        <v>20</v>
      </c>
      <c r="H21" s="199" t="s">
        <v>30</v>
      </c>
      <c r="I21" s="161">
        <v>45912</v>
      </c>
      <c r="J21" s="201">
        <f t="shared" si="1"/>
        <v>-111393</v>
      </c>
      <c r="K21" s="207">
        <f>K8-$J8</f>
        <v>-116134</v>
      </c>
      <c r="L21" s="207">
        <f t="shared" si="0"/>
        <v>902</v>
      </c>
      <c r="M21" s="207">
        <f t="shared" si="0"/>
        <v>1569</v>
      </c>
      <c r="N21" s="207">
        <f t="shared" si="0"/>
        <v>2270</v>
      </c>
      <c r="O21" s="207"/>
      <c r="P21" s="141">
        <v>45904</v>
      </c>
      <c r="Q21" s="218" t="s">
        <v>120</v>
      </c>
      <c r="R21" s="99">
        <v>45926</v>
      </c>
    </row>
    <row r="22" spans="1:18" hidden="1">
      <c r="A22" s="197" t="s">
        <v>14</v>
      </c>
      <c r="B22" s="197" t="s">
        <v>126</v>
      </c>
      <c r="C22" s="198" t="s">
        <v>52</v>
      </c>
      <c r="D22" s="197" t="s">
        <v>24</v>
      </c>
      <c r="E22" s="197" t="s">
        <v>18</v>
      </c>
      <c r="F22" s="197" t="s">
        <v>167</v>
      </c>
      <c r="G22" s="197" t="s">
        <v>20</v>
      </c>
      <c r="H22" s="199" t="s">
        <v>132</v>
      </c>
      <c r="I22" s="161">
        <v>45912</v>
      </c>
      <c r="J22" s="201">
        <f t="shared" si="1"/>
        <v>726</v>
      </c>
      <c r="K22" s="207">
        <f>K9-$J9</f>
        <v>0</v>
      </c>
      <c r="L22" s="207">
        <f t="shared" si="0"/>
        <v>285</v>
      </c>
      <c r="M22" s="207">
        <f t="shared" si="0"/>
        <v>441</v>
      </c>
      <c r="N22" s="207">
        <f t="shared" si="0"/>
        <v>0</v>
      </c>
      <c r="O22" s="251"/>
      <c r="P22" s="59">
        <v>45905</v>
      </c>
      <c r="Q22" s="184" t="s">
        <v>120</v>
      </c>
      <c r="R22" s="99">
        <v>45924</v>
      </c>
    </row>
    <row r="23" spans="1:18" hidden="1">
      <c r="A23" s="198" t="s">
        <v>14</v>
      </c>
      <c r="B23" s="198" t="s">
        <v>164</v>
      </c>
      <c r="C23" s="198" t="s">
        <v>41</v>
      </c>
      <c r="D23" s="198" t="s">
        <v>165</v>
      </c>
      <c r="E23" s="198" t="s">
        <v>18</v>
      </c>
      <c r="F23" s="198" t="s">
        <v>166</v>
      </c>
      <c r="G23" s="198" t="s">
        <v>20</v>
      </c>
      <c r="H23" s="200" t="s">
        <v>91</v>
      </c>
      <c r="I23" s="161">
        <v>45912</v>
      </c>
      <c r="J23" s="201">
        <f t="shared" si="1"/>
        <v>-43854</v>
      </c>
      <c r="K23" s="207">
        <f t="shared" si="2"/>
        <v>-24337</v>
      </c>
      <c r="L23" s="207">
        <f t="shared" si="0"/>
        <v>1878</v>
      </c>
      <c r="M23" s="207">
        <f t="shared" si="0"/>
        <v>2942</v>
      </c>
      <c r="N23" s="207">
        <f t="shared" si="0"/>
        <v>-24337</v>
      </c>
      <c r="O23" s="207"/>
      <c r="P23" s="141">
        <v>45918</v>
      </c>
      <c r="Q23" s="184" t="s">
        <v>194</v>
      </c>
      <c r="R23" s="99">
        <v>45923</v>
      </c>
    </row>
    <row r="24" spans="1:18" hidden="1">
      <c r="A24" s="209" t="s">
        <v>14</v>
      </c>
      <c r="B24" s="209" t="s">
        <v>31</v>
      </c>
      <c r="C24" s="209" t="s">
        <v>47</v>
      </c>
      <c r="D24" s="209" t="s">
        <v>24</v>
      </c>
      <c r="E24" s="209" t="s">
        <v>18</v>
      </c>
      <c r="F24" s="209" t="s">
        <v>180</v>
      </c>
      <c r="G24" s="209" t="s">
        <v>20</v>
      </c>
      <c r="H24" s="217" t="s">
        <v>163</v>
      </c>
      <c r="I24" s="161">
        <v>45912</v>
      </c>
      <c r="J24" s="201">
        <f t="shared" si="1"/>
        <v>173235</v>
      </c>
      <c r="K24" s="207">
        <f t="shared" si="2"/>
        <v>0</v>
      </c>
      <c r="L24" s="207">
        <f t="shared" si="0"/>
        <v>26368</v>
      </c>
      <c r="M24" s="207">
        <f t="shared" si="0"/>
        <v>27109</v>
      </c>
      <c r="N24" s="207">
        <f t="shared" si="0"/>
        <v>119758</v>
      </c>
      <c r="O24" s="207"/>
      <c r="P24" s="141">
        <v>45901</v>
      </c>
      <c r="Q24" s="184" t="s">
        <v>120</v>
      </c>
      <c r="R24" s="99">
        <v>45922</v>
      </c>
    </row>
    <row r="25" spans="1:18" hidden="1">
      <c r="A25" s="202" t="s">
        <v>14</v>
      </c>
      <c r="B25" s="204" t="s">
        <v>31</v>
      </c>
      <c r="C25" s="204" t="s">
        <v>168</v>
      </c>
      <c r="D25" s="202" t="s">
        <v>165</v>
      </c>
      <c r="E25" s="202" t="s">
        <v>18</v>
      </c>
      <c r="F25" s="202" t="s">
        <v>169</v>
      </c>
      <c r="G25" s="202" t="s">
        <v>20</v>
      </c>
      <c r="H25" s="202" t="s">
        <v>91</v>
      </c>
      <c r="I25" s="161">
        <v>45912</v>
      </c>
      <c r="J25" s="201">
        <f t="shared" si="1"/>
        <v>361281</v>
      </c>
      <c r="K25" s="207">
        <f t="shared" si="2"/>
        <v>0</v>
      </c>
      <c r="L25" s="207">
        <f t="shared" si="0"/>
        <v>119236</v>
      </c>
      <c r="M25" s="207">
        <f t="shared" si="0"/>
        <v>120445</v>
      </c>
      <c r="N25" s="207">
        <f t="shared" si="0"/>
        <v>121600</v>
      </c>
      <c r="O25" s="207"/>
      <c r="P25" s="141">
        <v>45905</v>
      </c>
      <c r="Q25" s="184" t="s">
        <v>120</v>
      </c>
      <c r="R25" s="99">
        <v>45922</v>
      </c>
    </row>
    <row r="26" spans="1:18" ht="14.95" thickBot="1"/>
    <row r="27" spans="1:18" ht="28.55">
      <c r="A27" s="319" t="s">
        <v>249</v>
      </c>
      <c r="B27" s="320"/>
      <c r="C27" s="320"/>
      <c r="D27" s="320"/>
      <c r="E27" s="320"/>
      <c r="F27" s="226"/>
      <c r="G27" s="250" t="s">
        <v>238</v>
      </c>
      <c r="H27" s="259" t="s">
        <v>257</v>
      </c>
    </row>
    <row r="28" spans="1:18" ht="14.95" thickBot="1">
      <c r="A28" s="227" t="s">
        <v>250</v>
      </c>
      <c r="B28" s="222" t="s">
        <v>234</v>
      </c>
      <c r="C28" s="222" t="s">
        <v>235</v>
      </c>
      <c r="D28" s="222" t="s">
        <v>236</v>
      </c>
      <c r="E28" s="223" t="s">
        <v>237</v>
      </c>
      <c r="F28" s="223" t="s">
        <v>254</v>
      </c>
      <c r="G28" s="224" t="s">
        <v>251</v>
      </c>
      <c r="H28" s="225"/>
      <c r="P28"/>
      <c r="Q28" s="229"/>
    </row>
    <row r="29" spans="1:18" ht="14.95" thickBot="1">
      <c r="A29" s="252" t="s">
        <v>98</v>
      </c>
      <c r="B29" s="253">
        <f>K3-J3</f>
        <v>0</v>
      </c>
      <c r="C29" s="254">
        <f>L3-K3</f>
        <v>36024</v>
      </c>
      <c r="D29" s="254">
        <f>M3-L3</f>
        <v>314</v>
      </c>
      <c r="E29" s="254">
        <f>N3-M3</f>
        <v>-36338</v>
      </c>
      <c r="F29" s="254">
        <f>O3-N3</f>
        <v>0</v>
      </c>
      <c r="G29" s="257">
        <f>SUM(B29:F29)</f>
        <v>0</v>
      </c>
      <c r="H29" s="239">
        <f>R3</f>
        <v>0</v>
      </c>
      <c r="P29"/>
      <c r="Q29" s="229"/>
    </row>
    <row r="30" spans="1:18" ht="14.95" thickBot="1">
      <c r="A30" s="219" t="s">
        <v>32</v>
      </c>
      <c r="B30" s="253">
        <f t="shared" ref="B30:F38" si="3">K4-J4</f>
        <v>0</v>
      </c>
      <c r="C30" s="254">
        <f t="shared" si="3"/>
        <v>31508</v>
      </c>
      <c r="D30" s="254">
        <f t="shared" si="3"/>
        <v>505</v>
      </c>
      <c r="E30" s="254">
        <f t="shared" si="3"/>
        <v>-32013</v>
      </c>
      <c r="F30" s="254">
        <f t="shared" si="3"/>
        <v>0</v>
      </c>
      <c r="G30" s="257">
        <f>SUM(B30:F30)</f>
        <v>0</v>
      </c>
      <c r="H30" s="239" t="str">
        <f t="shared" ref="H30:H38" si="4">R4</f>
        <v>13.01.2026</v>
      </c>
      <c r="P30"/>
      <c r="Q30" s="229"/>
    </row>
    <row r="31" spans="1:18" ht="14.95" thickBot="1">
      <c r="A31" s="219" t="s">
        <v>49</v>
      </c>
      <c r="B31" s="253">
        <f t="shared" si="3"/>
        <v>0</v>
      </c>
      <c r="C31" s="254">
        <f t="shared" si="3"/>
        <v>26082</v>
      </c>
      <c r="D31" s="254">
        <f t="shared" si="3"/>
        <v>694</v>
      </c>
      <c r="E31" s="254">
        <f t="shared" si="3"/>
        <v>-26776</v>
      </c>
      <c r="F31" s="254">
        <f t="shared" si="3"/>
        <v>27542</v>
      </c>
      <c r="G31" s="257">
        <f t="shared" ref="G31:G38" si="5">SUM(B31:F31)</f>
        <v>27542</v>
      </c>
      <c r="H31" s="239" t="str">
        <f t="shared" si="4"/>
        <v>02.02.2026</v>
      </c>
      <c r="P31"/>
      <c r="Q31" s="229"/>
    </row>
    <row r="32" spans="1:18" ht="14.95" thickBot="1">
      <c r="A32" s="219" t="s">
        <v>16</v>
      </c>
      <c r="B32" s="253">
        <f t="shared" si="3"/>
        <v>-178654</v>
      </c>
      <c r="C32" s="254">
        <f t="shared" si="3"/>
        <v>179243</v>
      </c>
      <c r="D32" s="254">
        <f t="shared" si="3"/>
        <v>869</v>
      </c>
      <c r="E32" s="254">
        <f t="shared" si="3"/>
        <v>591</v>
      </c>
      <c r="F32" s="254">
        <f t="shared" si="3"/>
        <v>608</v>
      </c>
      <c r="G32" s="257">
        <f t="shared" si="5"/>
        <v>2657</v>
      </c>
      <c r="H32" s="239" t="str">
        <f>R6</f>
        <v>02.02.2026</v>
      </c>
      <c r="P32"/>
      <c r="Q32" s="229"/>
    </row>
    <row r="33" spans="1:17" ht="14.95" thickBot="1">
      <c r="A33" s="219" t="s">
        <v>23</v>
      </c>
      <c r="B33" s="253">
        <f t="shared" si="3"/>
        <v>-28717</v>
      </c>
      <c r="C33" s="254">
        <f t="shared" si="3"/>
        <v>29415</v>
      </c>
      <c r="D33" s="254">
        <f t="shared" si="3"/>
        <v>574</v>
      </c>
      <c r="E33" s="254">
        <f t="shared" si="3"/>
        <v>-29989</v>
      </c>
      <c r="F33" s="254">
        <f t="shared" si="3"/>
        <v>0</v>
      </c>
      <c r="G33" s="257">
        <f t="shared" si="5"/>
        <v>-28717</v>
      </c>
      <c r="H33" s="239" t="str">
        <f t="shared" si="4"/>
        <v>11.01.2026</v>
      </c>
      <c r="P33"/>
      <c r="Q33" s="229"/>
    </row>
    <row r="34" spans="1:17" ht="14.95" thickBot="1">
      <c r="A34" s="219" t="s">
        <v>28</v>
      </c>
      <c r="B34" s="253">
        <f>K8-J8</f>
        <v>-116134</v>
      </c>
      <c r="C34" s="254">
        <f>L8-K8</f>
        <v>117036</v>
      </c>
      <c r="D34" s="254">
        <f t="shared" si="3"/>
        <v>667</v>
      </c>
      <c r="E34" s="254">
        <f t="shared" si="3"/>
        <v>701</v>
      </c>
      <c r="F34" s="254">
        <f t="shared" si="3"/>
        <v>829</v>
      </c>
      <c r="G34" s="257">
        <f t="shared" si="5"/>
        <v>3099</v>
      </c>
      <c r="H34" s="239" t="str">
        <f t="shared" si="4"/>
        <v>30.01.2026</v>
      </c>
      <c r="P34"/>
      <c r="Q34" s="229"/>
    </row>
    <row r="35" spans="1:17" ht="14.95" thickBot="1">
      <c r="A35" s="219" t="s">
        <v>52</v>
      </c>
      <c r="B35" s="253">
        <f>K9-J9</f>
        <v>0</v>
      </c>
      <c r="C35" s="254">
        <f>L9-K9</f>
        <v>285</v>
      </c>
      <c r="D35" s="254">
        <f t="shared" si="3"/>
        <v>156</v>
      </c>
      <c r="E35" s="254">
        <f t="shared" si="3"/>
        <v>-441</v>
      </c>
      <c r="F35" s="254">
        <f t="shared" si="3"/>
        <v>0</v>
      </c>
      <c r="G35" s="257">
        <f t="shared" si="5"/>
        <v>0</v>
      </c>
      <c r="H35" s="239">
        <f t="shared" si="4"/>
        <v>0</v>
      </c>
      <c r="P35"/>
      <c r="Q35" s="229"/>
    </row>
    <row r="36" spans="1:17" ht="14.95" thickBot="1">
      <c r="A36" s="219" t="s">
        <v>41</v>
      </c>
      <c r="B36" s="253">
        <f t="shared" si="3"/>
        <v>-24337</v>
      </c>
      <c r="C36" s="254">
        <f t="shared" si="3"/>
        <v>26215</v>
      </c>
      <c r="D36" s="254">
        <f t="shared" si="3"/>
        <v>1064</v>
      </c>
      <c r="E36" s="254">
        <f t="shared" si="3"/>
        <v>-27279</v>
      </c>
      <c r="F36" s="254">
        <f t="shared" si="3"/>
        <v>0</v>
      </c>
      <c r="G36" s="257">
        <f t="shared" si="5"/>
        <v>-24337</v>
      </c>
      <c r="H36" s="239" t="str">
        <f t="shared" si="4"/>
        <v>17.01.2026</v>
      </c>
      <c r="P36"/>
      <c r="Q36" s="229"/>
    </row>
    <row r="37" spans="1:17" ht="14.95" thickBot="1">
      <c r="A37" s="220" t="s">
        <v>47</v>
      </c>
      <c r="B37" s="253">
        <f t="shared" si="3"/>
        <v>0</v>
      </c>
      <c r="C37" s="254">
        <f t="shared" si="3"/>
        <v>26368</v>
      </c>
      <c r="D37" s="254">
        <f t="shared" si="3"/>
        <v>741</v>
      </c>
      <c r="E37" s="254">
        <f t="shared" si="3"/>
        <v>92649</v>
      </c>
      <c r="F37" s="254">
        <f t="shared" si="3"/>
        <v>-91826</v>
      </c>
      <c r="G37" s="257">
        <f t="shared" si="5"/>
        <v>27932</v>
      </c>
      <c r="H37" s="239" t="str">
        <f t="shared" si="4"/>
        <v>06.02.2026</v>
      </c>
      <c r="P37"/>
      <c r="Q37" s="229"/>
    </row>
    <row r="38" spans="1:17" ht="14.95" thickBot="1">
      <c r="A38" s="221" t="s">
        <v>168</v>
      </c>
      <c r="B38" s="253">
        <f t="shared" si="3"/>
        <v>0</v>
      </c>
      <c r="C38" s="254">
        <f t="shared" si="3"/>
        <v>119236</v>
      </c>
      <c r="D38" s="254">
        <f t="shared" si="3"/>
        <v>1209</v>
      </c>
      <c r="E38" s="254">
        <f t="shared" si="3"/>
        <v>1155</v>
      </c>
      <c r="F38" s="254">
        <f t="shared" si="3"/>
        <v>1327</v>
      </c>
      <c r="G38" s="257">
        <f t="shared" si="5"/>
        <v>122927</v>
      </c>
      <c r="H38" s="239" t="str">
        <f t="shared" si="4"/>
        <v>30.01.2026</v>
      </c>
      <c r="P38"/>
      <c r="Q38" s="229"/>
    </row>
  </sheetData>
  <autoFilter ref="A2:R2">
    <sortState ref="A3:R12">
      <sortCondition ref="C2"/>
    </sortState>
  </autoFilter>
  <mergeCells count="1">
    <mergeCell ref="A27:E27"/>
  </mergeCells>
  <conditionalFormatting sqref="B29:B38 C30:E30 F30:G38 E31:E38">
    <cfRule type="cellIs" dxfId="127" priority="16" operator="between">
      <formula>1</formula>
      <formula>299</formula>
    </cfRule>
  </conditionalFormatting>
  <conditionalFormatting sqref="B29:G38">
    <cfRule type="cellIs" priority="17" operator="equal">
      <formula>0</formula>
    </cfRule>
  </conditionalFormatting>
  <conditionalFormatting sqref="C30:E30 F30:G38 E31:E38 B29:B38">
    <cfRule type="cellIs" dxfId="126" priority="14" operator="greaterThan">
      <formula>500</formula>
    </cfRule>
    <cfRule type="cellIs" dxfId="125" priority="15" operator="between">
      <formula>300</formula>
      <formula>500</formula>
    </cfRule>
  </conditionalFormatting>
  <conditionalFormatting sqref="C29:G38">
    <cfRule type="cellIs" dxfId="124" priority="11" operator="between">
      <formula>1</formula>
      <formula>600</formula>
    </cfRule>
    <cfRule type="cellIs" dxfId="123" priority="12" operator="between">
      <formula>600</formula>
      <formula>1000</formula>
    </cfRule>
    <cfRule type="cellIs" dxfId="122" priority="13" operator="greaterThan">
      <formula>1000</formula>
    </cfRule>
  </conditionalFormatting>
  <conditionalFormatting sqref="D29:G38">
    <cfRule type="cellIs" dxfId="121" priority="8" operator="greaterThan">
      <formula>1501</formula>
    </cfRule>
    <cfRule type="cellIs" dxfId="120" priority="9" operator="between">
      <formula>1</formula>
      <formula>900</formula>
    </cfRule>
    <cfRule type="cellIs" dxfId="119" priority="10" operator="between">
      <formula>900</formula>
      <formula>1500</formula>
    </cfRule>
  </conditionalFormatting>
  <conditionalFormatting sqref="E30:F38">
    <cfRule type="cellIs" dxfId="118" priority="7" operator="greaterThan">
      <formula>2000</formula>
    </cfRule>
  </conditionalFormatting>
  <conditionalFormatting sqref="G29:G38 E30:F38">
    <cfRule type="cellIs" dxfId="117" priority="5" operator="between">
      <formula>1201</formula>
      <formula>2000</formula>
    </cfRule>
    <cfRule type="cellIs" dxfId="116" priority="6" operator="between">
      <formula>1</formula>
      <formula>1200</formula>
    </cfRule>
  </conditionalFormatting>
  <conditionalFormatting sqref="G29:G38">
    <cfRule type="cellIs" dxfId="115" priority="1" operator="between">
      <formula>1500</formula>
      <formula>2000</formula>
    </cfRule>
    <cfRule type="cellIs" dxfId="114" priority="2" operator="between">
      <formula>1200</formula>
      <formula>2000</formula>
    </cfRule>
    <cfRule type="cellIs" dxfId="113" priority="3" operator="greaterThan">
      <formula>2000</formula>
    </cfRule>
  </conditionalFormatting>
  <conditionalFormatting sqref="H29:H38">
    <cfRule type="cellIs" dxfId="112" priority="4" operator="lessThan">
      <formula>$H$28</formula>
    </cfRule>
  </conditionalFormatting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view="pageBreakPreview" topLeftCell="B1" zoomScale="90" zoomScaleNormal="90" zoomScaleSheetLayoutView="90" workbookViewId="0">
      <selection sqref="A1:R39"/>
    </sheetView>
  </sheetViews>
  <sheetFormatPr defaultColWidth="9.125" defaultRowHeight="14.3"/>
  <cols>
    <col min="1" max="1" width="16.125" customWidth="1"/>
    <col min="2" max="5" width="15.625" customWidth="1"/>
    <col min="6" max="6" width="11.125" customWidth="1"/>
    <col min="7" max="7" width="12.875" customWidth="1"/>
    <col min="8" max="8" width="19.5" bestFit="1" customWidth="1"/>
    <col min="9" max="9" width="13.625" bestFit="1" customWidth="1"/>
    <col min="10" max="10" width="11.125" bestFit="1" customWidth="1"/>
    <col min="11" max="13" width="11.125" customWidth="1"/>
    <col min="14" max="15" width="16.375" customWidth="1"/>
    <col min="16" max="16" width="19.875" style="229" bestFit="1" customWidth="1"/>
    <col min="17" max="17" width="26.875" bestFit="1" customWidth="1"/>
    <col min="18" max="18" width="18.375" bestFit="1" customWidth="1"/>
  </cols>
  <sheetData>
    <row r="1" spans="1:18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228"/>
      <c r="Q1" s="171"/>
      <c r="R1" s="172"/>
    </row>
    <row r="2" spans="1:18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232</v>
      </c>
      <c r="J2" s="193" t="s">
        <v>233</v>
      </c>
      <c r="K2" s="216" t="s">
        <v>234</v>
      </c>
      <c r="L2" s="216" t="s">
        <v>235</v>
      </c>
      <c r="M2" s="216" t="s">
        <v>236</v>
      </c>
      <c r="N2" s="216" t="s">
        <v>237</v>
      </c>
      <c r="O2" s="216" t="s">
        <v>254</v>
      </c>
      <c r="P2" s="236" t="s">
        <v>238</v>
      </c>
      <c r="Q2" s="261" t="s">
        <v>239</v>
      </c>
      <c r="R2" s="216" t="s">
        <v>240</v>
      </c>
    </row>
    <row r="3" spans="1:18">
      <c r="A3" s="198" t="s">
        <v>96</v>
      </c>
      <c r="B3" s="198" t="s">
        <v>279</v>
      </c>
      <c r="C3" s="238" t="s">
        <v>98</v>
      </c>
      <c r="D3" s="198" t="s">
        <v>99</v>
      </c>
      <c r="E3" s="198" t="s">
        <v>34</v>
      </c>
      <c r="F3" s="198" t="s">
        <v>256</v>
      </c>
      <c r="G3" s="198" t="s">
        <v>20</v>
      </c>
      <c r="H3" s="199" t="s">
        <v>286</v>
      </c>
      <c r="I3" s="244">
        <v>46059</v>
      </c>
      <c r="J3" s="207">
        <v>37122</v>
      </c>
      <c r="K3" s="237">
        <v>37449</v>
      </c>
      <c r="L3" s="237">
        <v>37592</v>
      </c>
      <c r="M3" s="207">
        <v>37793</v>
      </c>
      <c r="N3" s="207"/>
      <c r="O3" s="207"/>
      <c r="P3" s="242" t="s">
        <v>276</v>
      </c>
      <c r="Q3" s="260" t="s">
        <v>259</v>
      </c>
      <c r="R3" s="229" t="s">
        <v>293</v>
      </c>
    </row>
    <row r="4" spans="1:18" s="19" customFormat="1">
      <c r="A4" s="235" t="s">
        <v>14</v>
      </c>
      <c r="B4" s="235" t="s">
        <v>126</v>
      </c>
      <c r="C4" s="238" t="s">
        <v>32</v>
      </c>
      <c r="D4" s="235" t="s">
        <v>24</v>
      </c>
      <c r="E4" s="235" t="s">
        <v>34</v>
      </c>
      <c r="F4" s="267" t="s">
        <v>139</v>
      </c>
      <c r="G4" s="238" t="s">
        <v>20</v>
      </c>
      <c r="H4" s="245" t="s">
        <v>284</v>
      </c>
      <c r="I4" s="268">
        <v>46059</v>
      </c>
      <c r="J4" s="234">
        <v>34615</v>
      </c>
      <c r="K4" s="237">
        <v>35315</v>
      </c>
      <c r="L4" s="237">
        <v>36067</v>
      </c>
      <c r="M4" s="234">
        <v>37118</v>
      </c>
      <c r="N4" s="234"/>
      <c r="O4" s="234"/>
      <c r="P4" s="269" t="s">
        <v>296</v>
      </c>
      <c r="Q4" s="270" t="s">
        <v>259</v>
      </c>
      <c r="R4" s="241" t="s">
        <v>275</v>
      </c>
    </row>
    <row r="5" spans="1:18" s="19" customFormat="1">
      <c r="A5" s="235" t="s">
        <v>14</v>
      </c>
      <c r="B5" s="235" t="s">
        <v>92</v>
      </c>
      <c r="C5" s="235" t="s">
        <v>49</v>
      </c>
      <c r="D5" s="235" t="s">
        <v>24</v>
      </c>
      <c r="E5" s="235" t="s">
        <v>34</v>
      </c>
      <c r="F5" s="267" t="s">
        <v>93</v>
      </c>
      <c r="G5" s="235" t="s">
        <v>20</v>
      </c>
      <c r="H5" s="245" t="s">
        <v>289</v>
      </c>
      <c r="I5" s="268">
        <v>46059</v>
      </c>
      <c r="J5" s="234">
        <v>28821</v>
      </c>
      <c r="K5" s="234">
        <v>29581</v>
      </c>
      <c r="L5" s="234">
        <v>30478</v>
      </c>
      <c r="M5" s="234">
        <v>31444</v>
      </c>
      <c r="N5" s="234"/>
      <c r="O5" s="234"/>
      <c r="P5" s="269" t="s">
        <v>295</v>
      </c>
      <c r="Q5" s="270" t="s">
        <v>259</v>
      </c>
      <c r="R5" s="269" t="s">
        <v>278</v>
      </c>
    </row>
    <row r="6" spans="1:18" s="19" customFormat="1">
      <c r="A6" s="238" t="s">
        <v>14</v>
      </c>
      <c r="B6" s="238" t="s">
        <v>15</v>
      </c>
      <c r="C6" s="238" t="s">
        <v>16</v>
      </c>
      <c r="D6" s="238" t="s">
        <v>165</v>
      </c>
      <c r="E6" s="238" t="s">
        <v>165</v>
      </c>
      <c r="F6" s="271" t="s">
        <v>283</v>
      </c>
      <c r="G6" s="238" t="s">
        <v>20</v>
      </c>
      <c r="H6" s="266" t="s">
        <v>290</v>
      </c>
      <c r="I6" s="268"/>
      <c r="J6" s="272"/>
      <c r="K6" s="234"/>
      <c r="L6" s="234" t="s">
        <v>290</v>
      </c>
      <c r="M6" s="234"/>
      <c r="N6" s="234"/>
      <c r="O6" s="234"/>
      <c r="P6" s="269"/>
      <c r="Q6" s="273" t="s">
        <v>274</v>
      </c>
      <c r="R6" s="269"/>
    </row>
    <row r="7" spans="1:18" s="19" customFormat="1">
      <c r="A7" s="235" t="s">
        <v>14</v>
      </c>
      <c r="B7" s="235" t="s">
        <v>126</v>
      </c>
      <c r="C7" s="238" t="s">
        <v>23</v>
      </c>
      <c r="D7" s="235" t="s">
        <v>24</v>
      </c>
      <c r="E7" s="235" t="s">
        <v>34</v>
      </c>
      <c r="F7" s="267" t="s">
        <v>176</v>
      </c>
      <c r="G7" s="238" t="s">
        <v>20</v>
      </c>
      <c r="H7" s="245" t="s">
        <v>288</v>
      </c>
      <c r="I7" s="268">
        <v>46059</v>
      </c>
      <c r="J7" s="234">
        <v>31278</v>
      </c>
      <c r="K7" s="234">
        <v>31465</v>
      </c>
      <c r="L7" s="234">
        <v>31525</v>
      </c>
      <c r="M7" s="234">
        <v>31929</v>
      </c>
      <c r="N7" s="234"/>
      <c r="O7" s="234"/>
      <c r="P7" s="269" t="s">
        <v>294</v>
      </c>
      <c r="Q7" s="270" t="s">
        <v>259</v>
      </c>
      <c r="R7" s="241" t="s">
        <v>276</v>
      </c>
    </row>
    <row r="8" spans="1:18" s="19" customFormat="1">
      <c r="A8" s="235" t="s">
        <v>14</v>
      </c>
      <c r="B8" s="235" t="s">
        <v>27</v>
      </c>
      <c r="C8" s="235" t="s">
        <v>28</v>
      </c>
      <c r="D8" s="235" t="s">
        <v>24</v>
      </c>
      <c r="E8" s="235" t="s">
        <v>165</v>
      </c>
      <c r="F8" s="267" t="s">
        <v>29</v>
      </c>
      <c r="G8" s="238" t="s">
        <v>20</v>
      </c>
      <c r="H8" s="245" t="s">
        <v>246</v>
      </c>
      <c r="I8" s="268">
        <v>46059</v>
      </c>
      <c r="J8" s="234"/>
      <c r="K8" s="234">
        <v>120958</v>
      </c>
      <c r="L8" s="234">
        <v>121342</v>
      </c>
      <c r="M8" s="234" t="s">
        <v>58</v>
      </c>
      <c r="N8" s="234"/>
      <c r="O8" s="234"/>
      <c r="P8" s="241" t="s">
        <v>265</v>
      </c>
      <c r="Q8" s="270" t="s">
        <v>259</v>
      </c>
      <c r="R8" s="241" t="s">
        <v>268</v>
      </c>
    </row>
    <row r="9" spans="1:18" s="19" customFormat="1">
      <c r="A9" s="238" t="s">
        <v>14</v>
      </c>
      <c r="B9" s="238" t="s">
        <v>281</v>
      </c>
      <c r="C9" s="238" t="s">
        <v>52</v>
      </c>
      <c r="D9" s="238" t="s">
        <v>99</v>
      </c>
      <c r="E9" s="235" t="s">
        <v>34</v>
      </c>
      <c r="F9" s="271" t="s">
        <v>280</v>
      </c>
      <c r="G9" s="238" t="s">
        <v>20</v>
      </c>
      <c r="H9" s="248" t="s">
        <v>292</v>
      </c>
      <c r="I9" s="268">
        <v>46059</v>
      </c>
      <c r="J9" s="234">
        <v>444</v>
      </c>
      <c r="K9" s="234">
        <v>858</v>
      </c>
      <c r="L9" s="234">
        <v>1034</v>
      </c>
      <c r="M9" s="234">
        <v>1888</v>
      </c>
      <c r="N9" s="234"/>
      <c r="O9" s="234"/>
      <c r="P9" s="274" t="s">
        <v>282</v>
      </c>
      <c r="Q9" s="270" t="s">
        <v>259</v>
      </c>
      <c r="R9" s="274" t="s">
        <v>282</v>
      </c>
    </row>
    <row r="10" spans="1:18" s="19" customFormat="1">
      <c r="A10" s="235" t="s">
        <v>14</v>
      </c>
      <c r="B10" s="235" t="s">
        <v>126</v>
      </c>
      <c r="C10" s="238" t="s">
        <v>41</v>
      </c>
      <c r="D10" s="235" t="s">
        <v>24</v>
      </c>
      <c r="E10" s="235" t="s">
        <v>34</v>
      </c>
      <c r="F10" s="267" t="s">
        <v>166</v>
      </c>
      <c r="G10" s="235" t="s">
        <v>20</v>
      </c>
      <c r="H10" s="245" t="s">
        <v>287</v>
      </c>
      <c r="I10" s="268">
        <v>46059</v>
      </c>
      <c r="J10" s="234"/>
      <c r="K10" s="234">
        <v>31287</v>
      </c>
      <c r="L10" s="234" t="s">
        <v>291</v>
      </c>
      <c r="M10" s="234">
        <v>32276</v>
      </c>
      <c r="N10" s="234"/>
      <c r="O10" s="234"/>
      <c r="P10" s="269" t="s">
        <v>267</v>
      </c>
      <c r="Q10" s="270" t="s">
        <v>259</v>
      </c>
      <c r="R10" s="269" t="s">
        <v>276</v>
      </c>
    </row>
    <row r="11" spans="1:18" s="19" customFormat="1">
      <c r="A11" s="275" t="s">
        <v>14</v>
      </c>
      <c r="B11" s="235" t="s">
        <v>126</v>
      </c>
      <c r="C11" s="275" t="s">
        <v>47</v>
      </c>
      <c r="D11" s="275" t="s">
        <v>24</v>
      </c>
      <c r="E11" s="235" t="s">
        <v>34</v>
      </c>
      <c r="F11" s="276" t="s">
        <v>180</v>
      </c>
      <c r="G11" s="275" t="s">
        <v>20</v>
      </c>
      <c r="H11" s="246" t="s">
        <v>246</v>
      </c>
      <c r="I11" s="268">
        <v>46059</v>
      </c>
      <c r="J11" s="234">
        <v>28708</v>
      </c>
      <c r="K11" s="234">
        <v>29625</v>
      </c>
      <c r="L11" s="277">
        <v>30050</v>
      </c>
      <c r="M11" s="234">
        <v>30312</v>
      </c>
      <c r="N11" s="234"/>
      <c r="O11" s="234"/>
      <c r="P11" s="269" t="s">
        <v>268</v>
      </c>
      <c r="Q11" s="270" t="s">
        <v>269</v>
      </c>
      <c r="R11" s="241" t="s">
        <v>277</v>
      </c>
    </row>
    <row r="12" spans="1:18" s="19" customFormat="1">
      <c r="A12" s="247" t="s">
        <v>14</v>
      </c>
      <c r="B12" s="278" t="s">
        <v>27</v>
      </c>
      <c r="C12" s="278" t="s">
        <v>270</v>
      </c>
      <c r="D12" s="247" t="s">
        <v>165</v>
      </c>
      <c r="E12" s="247" t="s">
        <v>165</v>
      </c>
      <c r="F12" s="279" t="s">
        <v>169</v>
      </c>
      <c r="G12" s="247" t="s">
        <v>20</v>
      </c>
      <c r="H12" s="247" t="s">
        <v>285</v>
      </c>
      <c r="I12" s="268">
        <v>46059</v>
      </c>
      <c r="J12" s="234">
        <v>124079</v>
      </c>
      <c r="K12" s="234">
        <v>125056</v>
      </c>
      <c r="L12" s="234">
        <v>125429</v>
      </c>
      <c r="M12" s="234">
        <v>126281</v>
      </c>
      <c r="N12" s="234"/>
      <c r="O12" s="234"/>
      <c r="P12" s="241" t="s">
        <v>272</v>
      </c>
      <c r="Q12" s="270" t="s">
        <v>269</v>
      </c>
      <c r="R12" s="241" t="s">
        <v>275</v>
      </c>
    </row>
    <row r="14" spans="1:18">
      <c r="A14" s="169" t="s">
        <v>1</v>
      </c>
      <c r="B14" s="170"/>
      <c r="C14" s="170"/>
      <c r="D14" s="170"/>
      <c r="E14" s="170"/>
      <c r="F14" s="255"/>
      <c r="G14" s="170"/>
      <c r="H14" s="170"/>
      <c r="I14" s="170"/>
      <c r="J14" s="170"/>
      <c r="K14" s="170"/>
      <c r="L14" s="170"/>
      <c r="M14" s="170"/>
      <c r="N14" s="170"/>
      <c r="O14" s="170"/>
      <c r="P14" s="228"/>
      <c r="Q14" s="171"/>
      <c r="R14" s="172"/>
    </row>
    <row r="15" spans="1:18" hidden="1">
      <c r="A15" s="193" t="s">
        <v>2</v>
      </c>
      <c r="B15" s="193" t="s">
        <v>3</v>
      </c>
      <c r="C15" s="193" t="s">
        <v>4</v>
      </c>
      <c r="D15" s="193" t="s">
        <v>5</v>
      </c>
      <c r="E15" s="193" t="s">
        <v>6</v>
      </c>
      <c r="F15" s="193" t="s">
        <v>7</v>
      </c>
      <c r="G15" s="193" t="s">
        <v>8</v>
      </c>
      <c r="H15" s="193" t="s">
        <v>9</v>
      </c>
      <c r="I15" s="193" t="s">
        <v>10</v>
      </c>
      <c r="J15" s="193" t="s">
        <v>247</v>
      </c>
      <c r="K15" s="216" t="s">
        <v>234</v>
      </c>
      <c r="L15" s="216" t="s">
        <v>235</v>
      </c>
      <c r="M15" s="216" t="s">
        <v>236</v>
      </c>
      <c r="N15" s="216" t="s">
        <v>237</v>
      </c>
      <c r="O15" s="216"/>
      <c r="P15" s="230" t="s">
        <v>238</v>
      </c>
      <c r="Q15" s="231" t="s">
        <v>248</v>
      </c>
      <c r="R15" s="232" t="s">
        <v>240</v>
      </c>
    </row>
    <row r="16" spans="1:18" hidden="1">
      <c r="A16" s="198" t="s">
        <v>96</v>
      </c>
      <c r="B16" s="198" t="s">
        <v>97</v>
      </c>
      <c r="C16" s="198" t="s">
        <v>98</v>
      </c>
      <c r="D16" s="198" t="s">
        <v>99</v>
      </c>
      <c r="E16" s="198" t="s">
        <v>18</v>
      </c>
      <c r="F16" s="198" t="s">
        <v>100</v>
      </c>
      <c r="G16" s="198" t="s">
        <v>20</v>
      </c>
      <c r="H16" s="200" t="s">
        <v>101</v>
      </c>
      <c r="I16" s="161">
        <v>45912</v>
      </c>
      <c r="J16" s="201">
        <f>SUM(K16:N16)</f>
        <v>-35654</v>
      </c>
      <c r="K16" s="207">
        <f>K3-$J3</f>
        <v>327</v>
      </c>
      <c r="L16" s="207">
        <f t="shared" ref="L16:N25" si="0">L3-$J3</f>
        <v>470</v>
      </c>
      <c r="M16" s="207">
        <f t="shared" si="0"/>
        <v>671</v>
      </c>
      <c r="N16" s="207">
        <f t="shared" si="0"/>
        <v>-37122</v>
      </c>
      <c r="O16" s="207"/>
      <c r="P16" s="141">
        <v>45891</v>
      </c>
      <c r="Q16" s="218"/>
      <c r="R16" s="98"/>
    </row>
    <row r="17" spans="1:18" hidden="1">
      <c r="A17" s="198" t="s">
        <v>14</v>
      </c>
      <c r="B17" s="198" t="s">
        <v>126</v>
      </c>
      <c r="C17" s="198" t="s">
        <v>32</v>
      </c>
      <c r="D17" s="198" t="s">
        <v>24</v>
      </c>
      <c r="E17" s="198" t="s">
        <v>18</v>
      </c>
      <c r="F17" s="198" t="s">
        <v>139</v>
      </c>
      <c r="G17" s="197" t="s">
        <v>20</v>
      </c>
      <c r="H17" s="199" t="s">
        <v>66</v>
      </c>
      <c r="I17" s="161">
        <v>45912</v>
      </c>
      <c r="J17" s="201">
        <f t="shared" ref="J17:J25" si="1">SUM(K17:N17)</f>
        <v>-29960</v>
      </c>
      <c r="K17" s="207">
        <f t="shared" ref="K17:K25" si="2">K4-$J4</f>
        <v>700</v>
      </c>
      <c r="L17" s="207">
        <f t="shared" si="0"/>
        <v>1452</v>
      </c>
      <c r="M17" s="207">
        <f t="shared" si="0"/>
        <v>2503</v>
      </c>
      <c r="N17" s="207">
        <f t="shared" si="0"/>
        <v>-34615</v>
      </c>
      <c r="O17" s="207"/>
      <c r="P17" s="141">
        <v>45896</v>
      </c>
      <c r="Q17" s="218" t="s">
        <v>120</v>
      </c>
      <c r="R17" s="99">
        <v>45921</v>
      </c>
    </row>
    <row r="18" spans="1:18" hidden="1">
      <c r="A18" s="198" t="s">
        <v>14</v>
      </c>
      <c r="B18" s="198" t="s">
        <v>92</v>
      </c>
      <c r="C18" s="198" t="s">
        <v>49</v>
      </c>
      <c r="D18" s="198" t="s">
        <v>24</v>
      </c>
      <c r="E18" s="198" t="s">
        <v>18</v>
      </c>
      <c r="F18" s="198" t="s">
        <v>93</v>
      </c>
      <c r="G18" s="198" t="s">
        <v>20</v>
      </c>
      <c r="H18" s="200" t="s">
        <v>94</v>
      </c>
      <c r="I18" s="161">
        <v>45912</v>
      </c>
      <c r="J18" s="201">
        <f t="shared" si="1"/>
        <v>-23781</v>
      </c>
      <c r="K18" s="207">
        <f t="shared" si="2"/>
        <v>760</v>
      </c>
      <c r="L18" s="207">
        <f t="shared" si="0"/>
        <v>1657</v>
      </c>
      <c r="M18" s="207">
        <f t="shared" si="0"/>
        <v>2623</v>
      </c>
      <c r="N18" s="207">
        <f t="shared" si="0"/>
        <v>-28821</v>
      </c>
      <c r="O18" s="207"/>
      <c r="P18" s="141">
        <v>45908</v>
      </c>
      <c r="Q18" s="182" t="s">
        <v>194</v>
      </c>
      <c r="R18" s="99">
        <v>45919</v>
      </c>
    </row>
    <row r="19" spans="1:18" hidden="1">
      <c r="A19" s="197" t="s">
        <v>14</v>
      </c>
      <c r="B19" s="197" t="s">
        <v>15</v>
      </c>
      <c r="C19" s="198" t="s">
        <v>16</v>
      </c>
      <c r="D19" s="197" t="s">
        <v>17</v>
      </c>
      <c r="E19" s="197" t="s">
        <v>18</v>
      </c>
      <c r="F19" s="197" t="s">
        <v>19</v>
      </c>
      <c r="G19" s="197" t="s">
        <v>20</v>
      </c>
      <c r="H19" s="199" t="s">
        <v>21</v>
      </c>
      <c r="I19" s="161">
        <v>45912</v>
      </c>
      <c r="J19" s="201" t="e">
        <f t="shared" si="1"/>
        <v>#VALUE!</v>
      </c>
      <c r="K19" s="207">
        <f t="shared" si="2"/>
        <v>0</v>
      </c>
      <c r="L19" s="207" t="e">
        <f t="shared" si="0"/>
        <v>#VALUE!</v>
      </c>
      <c r="M19" s="207">
        <f t="shared" si="0"/>
        <v>0</v>
      </c>
      <c r="N19" s="207">
        <f t="shared" si="0"/>
        <v>0</v>
      </c>
      <c r="O19" s="207"/>
      <c r="P19" s="141">
        <v>45916</v>
      </c>
      <c r="Q19" s="182" t="s">
        <v>194</v>
      </c>
      <c r="R19" s="99">
        <v>45924</v>
      </c>
    </row>
    <row r="20" spans="1:18" hidden="1">
      <c r="A20" s="198" t="s">
        <v>14</v>
      </c>
      <c r="B20" s="198" t="s">
        <v>126</v>
      </c>
      <c r="C20" s="198" t="s">
        <v>23</v>
      </c>
      <c r="D20" s="198" t="s">
        <v>24</v>
      </c>
      <c r="E20" s="198" t="s">
        <v>18</v>
      </c>
      <c r="F20" s="198" t="s">
        <v>176</v>
      </c>
      <c r="G20" s="197" t="s">
        <v>20</v>
      </c>
      <c r="H20" s="199" t="s">
        <v>66</v>
      </c>
      <c r="I20" s="161">
        <v>45912</v>
      </c>
      <c r="J20" s="201">
        <f t="shared" si="1"/>
        <v>-30193</v>
      </c>
      <c r="K20" s="207">
        <f t="shared" si="2"/>
        <v>187</v>
      </c>
      <c r="L20" s="207">
        <f t="shared" si="0"/>
        <v>247</v>
      </c>
      <c r="M20" s="207">
        <f t="shared" si="0"/>
        <v>651</v>
      </c>
      <c r="N20" s="207">
        <f t="shared" si="0"/>
        <v>-31278</v>
      </c>
      <c r="O20" s="207"/>
      <c r="P20" s="141">
        <v>45901</v>
      </c>
      <c r="Q20" s="182" t="s">
        <v>120</v>
      </c>
      <c r="R20" s="99">
        <v>45920</v>
      </c>
    </row>
    <row r="21" spans="1:18" hidden="1">
      <c r="A21" s="198" t="s">
        <v>14</v>
      </c>
      <c r="B21" s="198" t="s">
        <v>27</v>
      </c>
      <c r="C21" s="198" t="s">
        <v>28</v>
      </c>
      <c r="D21" s="198" t="s">
        <v>17</v>
      </c>
      <c r="E21" s="198" t="s">
        <v>18</v>
      </c>
      <c r="F21" s="198" t="s">
        <v>29</v>
      </c>
      <c r="G21" s="197" t="s">
        <v>20</v>
      </c>
      <c r="H21" s="199" t="s">
        <v>30</v>
      </c>
      <c r="I21" s="161">
        <v>45912</v>
      </c>
      <c r="J21" s="201" t="e">
        <f t="shared" si="1"/>
        <v>#VALUE!</v>
      </c>
      <c r="K21" s="207">
        <f>K8-$J8</f>
        <v>120958</v>
      </c>
      <c r="L21" s="207">
        <f t="shared" si="0"/>
        <v>121342</v>
      </c>
      <c r="M21" s="207" t="e">
        <f t="shared" si="0"/>
        <v>#VALUE!</v>
      </c>
      <c r="N21" s="207">
        <f t="shared" si="0"/>
        <v>0</v>
      </c>
      <c r="O21" s="207"/>
      <c r="P21" s="141">
        <v>45904</v>
      </c>
      <c r="Q21" s="218" t="s">
        <v>120</v>
      </c>
      <c r="R21" s="99">
        <v>45926</v>
      </c>
    </row>
    <row r="22" spans="1:18" hidden="1">
      <c r="A22" s="197" t="s">
        <v>14</v>
      </c>
      <c r="B22" s="197" t="s">
        <v>126</v>
      </c>
      <c r="C22" s="198" t="s">
        <v>52</v>
      </c>
      <c r="D22" s="197" t="s">
        <v>24</v>
      </c>
      <c r="E22" s="197" t="s">
        <v>18</v>
      </c>
      <c r="F22" s="197" t="s">
        <v>167</v>
      </c>
      <c r="G22" s="197" t="s">
        <v>20</v>
      </c>
      <c r="H22" s="199" t="s">
        <v>132</v>
      </c>
      <c r="I22" s="161">
        <v>45912</v>
      </c>
      <c r="J22" s="201">
        <f t="shared" si="1"/>
        <v>2004</v>
      </c>
      <c r="K22" s="207">
        <f>K9-$J9</f>
        <v>414</v>
      </c>
      <c r="L22" s="207">
        <f t="shared" si="0"/>
        <v>590</v>
      </c>
      <c r="M22" s="207">
        <f t="shared" si="0"/>
        <v>1444</v>
      </c>
      <c r="N22" s="207">
        <f t="shared" si="0"/>
        <v>-444</v>
      </c>
      <c r="O22" s="251"/>
      <c r="P22" s="59">
        <v>45905</v>
      </c>
      <c r="Q22" s="184" t="s">
        <v>120</v>
      </c>
      <c r="R22" s="99">
        <v>45924</v>
      </c>
    </row>
    <row r="23" spans="1:18" hidden="1">
      <c r="A23" s="198" t="s">
        <v>14</v>
      </c>
      <c r="B23" s="198" t="s">
        <v>164</v>
      </c>
      <c r="C23" s="198" t="s">
        <v>41</v>
      </c>
      <c r="D23" s="198" t="s">
        <v>165</v>
      </c>
      <c r="E23" s="198" t="s">
        <v>18</v>
      </c>
      <c r="F23" s="198" t="s">
        <v>166</v>
      </c>
      <c r="G23" s="198" t="s">
        <v>20</v>
      </c>
      <c r="H23" s="200" t="s">
        <v>91</v>
      </c>
      <c r="I23" s="161">
        <v>45912</v>
      </c>
      <c r="J23" s="201" t="e">
        <f t="shared" si="1"/>
        <v>#VALUE!</v>
      </c>
      <c r="K23" s="207">
        <f t="shared" si="2"/>
        <v>31287</v>
      </c>
      <c r="L23" s="207" t="e">
        <f t="shared" si="0"/>
        <v>#VALUE!</v>
      </c>
      <c r="M23" s="207">
        <f t="shared" si="0"/>
        <v>32276</v>
      </c>
      <c r="N23" s="207">
        <f t="shared" si="0"/>
        <v>0</v>
      </c>
      <c r="O23" s="207"/>
      <c r="P23" s="141">
        <v>45918</v>
      </c>
      <c r="Q23" s="184" t="s">
        <v>194</v>
      </c>
      <c r="R23" s="99">
        <v>45923</v>
      </c>
    </row>
    <row r="24" spans="1:18" hidden="1">
      <c r="A24" s="209" t="s">
        <v>14</v>
      </c>
      <c r="B24" s="209" t="s">
        <v>31</v>
      </c>
      <c r="C24" s="209" t="s">
        <v>47</v>
      </c>
      <c r="D24" s="209" t="s">
        <v>24</v>
      </c>
      <c r="E24" s="209" t="s">
        <v>18</v>
      </c>
      <c r="F24" s="209" t="s">
        <v>180</v>
      </c>
      <c r="G24" s="209" t="s">
        <v>20</v>
      </c>
      <c r="H24" s="217" t="s">
        <v>163</v>
      </c>
      <c r="I24" s="161">
        <v>45912</v>
      </c>
      <c r="J24" s="201">
        <f t="shared" si="1"/>
        <v>-24845</v>
      </c>
      <c r="K24" s="207">
        <f t="shared" si="2"/>
        <v>917</v>
      </c>
      <c r="L24" s="207">
        <f t="shared" si="0"/>
        <v>1342</v>
      </c>
      <c r="M24" s="207">
        <f t="shared" si="0"/>
        <v>1604</v>
      </c>
      <c r="N24" s="207">
        <f t="shared" si="0"/>
        <v>-28708</v>
      </c>
      <c r="O24" s="207"/>
      <c r="P24" s="141">
        <v>45901</v>
      </c>
      <c r="Q24" s="184" t="s">
        <v>120</v>
      </c>
      <c r="R24" s="99">
        <v>45922</v>
      </c>
    </row>
    <row r="25" spans="1:18" hidden="1">
      <c r="A25" s="202" t="s">
        <v>14</v>
      </c>
      <c r="B25" s="204" t="s">
        <v>31</v>
      </c>
      <c r="C25" s="204" t="s">
        <v>168</v>
      </c>
      <c r="D25" s="202" t="s">
        <v>165</v>
      </c>
      <c r="E25" s="202" t="s">
        <v>18</v>
      </c>
      <c r="F25" s="202" t="s">
        <v>169</v>
      </c>
      <c r="G25" s="202" t="s">
        <v>20</v>
      </c>
      <c r="H25" s="202" t="s">
        <v>91</v>
      </c>
      <c r="I25" s="161">
        <v>45912</v>
      </c>
      <c r="J25" s="201">
        <f t="shared" si="1"/>
        <v>-119550</v>
      </c>
      <c r="K25" s="207">
        <f t="shared" si="2"/>
        <v>977</v>
      </c>
      <c r="L25" s="207">
        <f t="shared" si="0"/>
        <v>1350</v>
      </c>
      <c r="M25" s="207">
        <f t="shared" si="0"/>
        <v>2202</v>
      </c>
      <c r="N25" s="207">
        <f t="shared" si="0"/>
        <v>-124079</v>
      </c>
      <c r="O25" s="207"/>
      <c r="P25" s="141">
        <v>45905</v>
      </c>
      <c r="Q25" s="184" t="s">
        <v>120</v>
      </c>
      <c r="R25" s="99">
        <v>45922</v>
      </c>
    </row>
    <row r="26" spans="1:18" ht="14.95" thickBot="1"/>
    <row r="27" spans="1:18" ht="28.55">
      <c r="A27" s="319" t="s">
        <v>249</v>
      </c>
      <c r="B27" s="320"/>
      <c r="C27" s="320"/>
      <c r="D27" s="320"/>
      <c r="E27" s="320"/>
      <c r="F27" s="226"/>
      <c r="G27" s="250" t="s">
        <v>238</v>
      </c>
      <c r="H27" s="259" t="s">
        <v>257</v>
      </c>
    </row>
    <row r="28" spans="1:18" ht="14.95" thickBot="1">
      <c r="A28" s="227" t="s">
        <v>250</v>
      </c>
      <c r="B28" s="222" t="s">
        <v>234</v>
      </c>
      <c r="C28" s="222" t="s">
        <v>235</v>
      </c>
      <c r="D28" s="222" t="s">
        <v>236</v>
      </c>
      <c r="E28" s="223" t="s">
        <v>237</v>
      </c>
      <c r="F28" s="223" t="s">
        <v>254</v>
      </c>
      <c r="G28" s="224" t="s">
        <v>251</v>
      </c>
      <c r="H28" s="225"/>
      <c r="P28"/>
      <c r="Q28" s="229"/>
    </row>
    <row r="29" spans="1:18" ht="14.95" thickBot="1">
      <c r="A29" s="252" t="s">
        <v>98</v>
      </c>
      <c r="B29" s="253">
        <f>K3-J3</f>
        <v>327</v>
      </c>
      <c r="C29" s="254">
        <f>L3-K3</f>
        <v>143</v>
      </c>
      <c r="D29" s="254">
        <f>M3-L3</f>
        <v>201</v>
      </c>
      <c r="E29" s="254">
        <f>N3-M3</f>
        <v>-37793</v>
      </c>
      <c r="F29" s="254">
        <f>O3-N3</f>
        <v>0</v>
      </c>
      <c r="G29" s="257">
        <f>SUM(B29:F29)</f>
        <v>-37122</v>
      </c>
      <c r="H29" s="239" t="str">
        <f>R3</f>
        <v>23.02.2026</v>
      </c>
      <c r="P29"/>
      <c r="Q29" s="229"/>
    </row>
    <row r="30" spans="1:18" ht="14.95" thickBot="1">
      <c r="A30" s="219" t="s">
        <v>32</v>
      </c>
      <c r="B30" s="253">
        <f t="shared" ref="B30:F38" si="3">K4-J4</f>
        <v>700</v>
      </c>
      <c r="C30" s="254">
        <f t="shared" si="3"/>
        <v>752</v>
      </c>
      <c r="D30" s="254">
        <f t="shared" si="3"/>
        <v>1051</v>
      </c>
      <c r="E30" s="254">
        <f t="shared" si="3"/>
        <v>-37118</v>
      </c>
      <c r="F30" s="254">
        <f t="shared" si="3"/>
        <v>0</v>
      </c>
      <c r="G30" s="257">
        <f>SUM(B30:F30)</f>
        <v>-34615</v>
      </c>
      <c r="H30" s="239" t="str">
        <f t="shared" ref="H30:H38" si="4">R4</f>
        <v>09.02.2026</v>
      </c>
      <c r="P30"/>
      <c r="Q30" s="229"/>
    </row>
    <row r="31" spans="1:18" ht="14.95" thickBot="1">
      <c r="A31" s="219" t="s">
        <v>49</v>
      </c>
      <c r="B31" s="253">
        <f t="shared" si="3"/>
        <v>760</v>
      </c>
      <c r="C31" s="254">
        <f t="shared" si="3"/>
        <v>897</v>
      </c>
      <c r="D31" s="254">
        <f t="shared" si="3"/>
        <v>966</v>
      </c>
      <c r="E31" s="254">
        <f t="shared" si="3"/>
        <v>-31444</v>
      </c>
      <c r="F31" s="254">
        <f t="shared" si="3"/>
        <v>0</v>
      </c>
      <c r="G31" s="257">
        <f t="shared" ref="G31:G38" si="5">SUM(B31:F31)</f>
        <v>-28821</v>
      </c>
      <c r="H31" s="239" t="str">
        <f t="shared" si="4"/>
        <v>08.02.2026</v>
      </c>
      <c r="P31"/>
      <c r="Q31" s="229"/>
    </row>
    <row r="32" spans="1:18" ht="14.95" thickBot="1">
      <c r="A32" s="219" t="s">
        <v>16</v>
      </c>
      <c r="B32" s="253">
        <f t="shared" si="3"/>
        <v>0</v>
      </c>
      <c r="C32" s="254" t="e">
        <f t="shared" si="3"/>
        <v>#VALUE!</v>
      </c>
      <c r="D32" s="254" t="e">
        <f t="shared" si="3"/>
        <v>#VALUE!</v>
      </c>
      <c r="E32" s="254">
        <f t="shared" si="3"/>
        <v>0</v>
      </c>
      <c r="F32" s="254">
        <f t="shared" si="3"/>
        <v>0</v>
      </c>
      <c r="G32" s="257" t="e">
        <f t="shared" si="5"/>
        <v>#VALUE!</v>
      </c>
      <c r="H32" s="239">
        <f>R6</f>
        <v>0</v>
      </c>
      <c r="P32"/>
      <c r="Q32" s="229"/>
    </row>
    <row r="33" spans="1:17" ht="14.95" thickBot="1">
      <c r="A33" s="219" t="s">
        <v>23</v>
      </c>
      <c r="B33" s="253">
        <f t="shared" si="3"/>
        <v>187</v>
      </c>
      <c r="C33" s="254">
        <f t="shared" si="3"/>
        <v>60</v>
      </c>
      <c r="D33" s="254">
        <f t="shared" si="3"/>
        <v>404</v>
      </c>
      <c r="E33" s="254">
        <f t="shared" si="3"/>
        <v>-31929</v>
      </c>
      <c r="F33" s="254">
        <f t="shared" si="3"/>
        <v>0</v>
      </c>
      <c r="G33" s="257">
        <f t="shared" si="5"/>
        <v>-31278</v>
      </c>
      <c r="H33" s="239" t="str">
        <f t="shared" si="4"/>
        <v>13.02.2026</v>
      </c>
      <c r="P33"/>
      <c r="Q33" s="229"/>
    </row>
    <row r="34" spans="1:17" ht="14.95" thickBot="1">
      <c r="A34" s="219" t="s">
        <v>28</v>
      </c>
      <c r="B34" s="253">
        <f>K8-J8</f>
        <v>120958</v>
      </c>
      <c r="C34" s="254">
        <f>L8-K8</f>
        <v>384</v>
      </c>
      <c r="D34" s="254" t="e">
        <f t="shared" si="3"/>
        <v>#VALUE!</v>
      </c>
      <c r="E34" s="254" t="e">
        <f t="shared" si="3"/>
        <v>#VALUE!</v>
      </c>
      <c r="F34" s="254">
        <f t="shared" si="3"/>
        <v>0</v>
      </c>
      <c r="G34" s="257" t="e">
        <f t="shared" si="5"/>
        <v>#VALUE!</v>
      </c>
      <c r="H34" s="239" t="str">
        <f t="shared" si="4"/>
        <v>30.01.2026</v>
      </c>
      <c r="P34"/>
      <c r="Q34" s="229"/>
    </row>
    <row r="35" spans="1:17" ht="14.95" thickBot="1">
      <c r="A35" s="219" t="s">
        <v>52</v>
      </c>
      <c r="B35" s="253">
        <f>K9-J9</f>
        <v>414</v>
      </c>
      <c r="C35" s="254">
        <f>L9-K9</f>
        <v>176</v>
      </c>
      <c r="D35" s="254">
        <f t="shared" si="3"/>
        <v>854</v>
      </c>
      <c r="E35" s="254">
        <f t="shared" si="3"/>
        <v>-1888</v>
      </c>
      <c r="F35" s="254">
        <f t="shared" si="3"/>
        <v>0</v>
      </c>
      <c r="G35" s="257">
        <f t="shared" si="5"/>
        <v>-444</v>
      </c>
      <c r="H35" s="239" t="str">
        <f t="shared" si="4"/>
        <v>12.02.2026</v>
      </c>
      <c r="P35"/>
      <c r="Q35" s="229"/>
    </row>
    <row r="36" spans="1:17" ht="14.95" thickBot="1">
      <c r="A36" s="219" t="s">
        <v>41</v>
      </c>
      <c r="B36" s="253">
        <f t="shared" si="3"/>
        <v>31287</v>
      </c>
      <c r="C36" s="254" t="e">
        <f t="shared" si="3"/>
        <v>#VALUE!</v>
      </c>
      <c r="D36" s="254" t="e">
        <f t="shared" si="3"/>
        <v>#VALUE!</v>
      </c>
      <c r="E36" s="254">
        <f t="shared" si="3"/>
        <v>-32276</v>
      </c>
      <c r="F36" s="254">
        <f t="shared" si="3"/>
        <v>0</v>
      </c>
      <c r="G36" s="257" t="e">
        <f t="shared" si="5"/>
        <v>#VALUE!</v>
      </c>
      <c r="H36" s="239" t="str">
        <f t="shared" si="4"/>
        <v>13.02.2026</v>
      </c>
      <c r="P36"/>
      <c r="Q36" s="229"/>
    </row>
    <row r="37" spans="1:17" ht="14.95" thickBot="1">
      <c r="A37" s="220" t="s">
        <v>47</v>
      </c>
      <c r="B37" s="253">
        <f t="shared" si="3"/>
        <v>917</v>
      </c>
      <c r="C37" s="254">
        <f t="shared" si="3"/>
        <v>425</v>
      </c>
      <c r="D37" s="254">
        <f t="shared" si="3"/>
        <v>262</v>
      </c>
      <c r="E37" s="254">
        <f t="shared" si="3"/>
        <v>-30312</v>
      </c>
      <c r="F37" s="254">
        <f t="shared" si="3"/>
        <v>0</v>
      </c>
      <c r="G37" s="257">
        <f t="shared" si="5"/>
        <v>-28708</v>
      </c>
      <c r="H37" s="239" t="str">
        <f t="shared" si="4"/>
        <v>07.02.2026</v>
      </c>
      <c r="P37"/>
      <c r="Q37" s="229"/>
    </row>
    <row r="38" spans="1:17" ht="14.95" thickBot="1">
      <c r="A38" s="221" t="s">
        <v>168</v>
      </c>
      <c r="B38" s="253">
        <f t="shared" si="3"/>
        <v>977</v>
      </c>
      <c r="C38" s="254">
        <f t="shared" si="3"/>
        <v>373</v>
      </c>
      <c r="D38" s="254">
        <f t="shared" si="3"/>
        <v>852</v>
      </c>
      <c r="E38" s="254">
        <f t="shared" si="3"/>
        <v>-126281</v>
      </c>
      <c r="F38" s="254">
        <f t="shared" si="3"/>
        <v>0</v>
      </c>
      <c r="G38" s="257">
        <f t="shared" si="5"/>
        <v>-124079</v>
      </c>
      <c r="H38" s="239" t="str">
        <f t="shared" si="4"/>
        <v>09.02.2026</v>
      </c>
      <c r="P38"/>
      <c r="Q38" s="229"/>
    </row>
  </sheetData>
  <autoFilter ref="A2:R2">
    <sortState ref="A3:R12">
      <sortCondition ref="C2"/>
    </sortState>
  </autoFilter>
  <mergeCells count="1">
    <mergeCell ref="A27:E27"/>
  </mergeCells>
  <conditionalFormatting sqref="B29:B38 C30:E30 F30:G38 E31:E38">
    <cfRule type="cellIs" dxfId="111" priority="16" operator="between">
      <formula>1</formula>
      <formula>299</formula>
    </cfRule>
  </conditionalFormatting>
  <conditionalFormatting sqref="B29:G38">
    <cfRule type="cellIs" priority="17" operator="equal">
      <formula>0</formula>
    </cfRule>
  </conditionalFormatting>
  <conditionalFormatting sqref="C30:E30 F30:G38 E31:E38 B29:B38">
    <cfRule type="cellIs" dxfId="110" priority="14" operator="greaterThan">
      <formula>500</formula>
    </cfRule>
    <cfRule type="cellIs" dxfId="109" priority="15" operator="between">
      <formula>300</formula>
      <formula>500</formula>
    </cfRule>
  </conditionalFormatting>
  <conditionalFormatting sqref="C29:G38">
    <cfRule type="cellIs" dxfId="108" priority="11" operator="between">
      <formula>1</formula>
      <formula>600</formula>
    </cfRule>
    <cfRule type="cellIs" dxfId="107" priority="12" operator="between">
      <formula>600</formula>
      <formula>1000</formula>
    </cfRule>
    <cfRule type="cellIs" dxfId="106" priority="13" operator="greaterThan">
      <formula>1000</formula>
    </cfRule>
  </conditionalFormatting>
  <conditionalFormatting sqref="D29:G38">
    <cfRule type="cellIs" dxfId="105" priority="8" operator="greaterThan">
      <formula>1501</formula>
    </cfRule>
    <cfRule type="cellIs" dxfId="104" priority="9" operator="between">
      <formula>1</formula>
      <formula>900</formula>
    </cfRule>
    <cfRule type="cellIs" dxfId="103" priority="10" operator="between">
      <formula>900</formula>
      <formula>1500</formula>
    </cfRule>
  </conditionalFormatting>
  <conditionalFormatting sqref="E30:F38">
    <cfRule type="cellIs" dxfId="102" priority="7" operator="greaterThan">
      <formula>2000</formula>
    </cfRule>
  </conditionalFormatting>
  <conditionalFormatting sqref="G29:G38 E30:F38">
    <cfRule type="cellIs" dxfId="101" priority="5" operator="between">
      <formula>1201</formula>
      <formula>2000</formula>
    </cfRule>
    <cfRule type="cellIs" dxfId="100" priority="6" operator="between">
      <formula>1</formula>
      <formula>1200</formula>
    </cfRule>
  </conditionalFormatting>
  <conditionalFormatting sqref="G29:G38">
    <cfRule type="cellIs" dxfId="99" priority="1" operator="between">
      <formula>1500</formula>
      <formula>2000</formula>
    </cfRule>
    <cfRule type="cellIs" dxfId="98" priority="2" operator="between">
      <formula>1200</formula>
      <formula>2000</formula>
    </cfRule>
    <cfRule type="cellIs" dxfId="97" priority="3" operator="greaterThan">
      <formula>2000</formula>
    </cfRule>
  </conditionalFormatting>
  <conditionalFormatting sqref="H29:H38">
    <cfRule type="cellIs" dxfId="96" priority="4" operator="lessThan">
      <formula>$H$28</formula>
    </cfRule>
  </conditionalFormatting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view="pageBreakPreview" topLeftCell="D7" zoomScale="130" zoomScaleNormal="90" zoomScaleSheetLayoutView="130" workbookViewId="0">
      <selection activeCell="L10" sqref="L10"/>
    </sheetView>
  </sheetViews>
  <sheetFormatPr defaultColWidth="9.125" defaultRowHeight="14.3"/>
  <cols>
    <col min="1" max="1" width="16.125" customWidth="1"/>
    <col min="2" max="5" width="15.625" customWidth="1"/>
    <col min="6" max="6" width="11.125" customWidth="1"/>
    <col min="7" max="7" width="12.875" customWidth="1"/>
    <col min="8" max="8" width="19.5" bestFit="1" customWidth="1"/>
    <col min="9" max="9" width="13.625" bestFit="1" customWidth="1"/>
    <col min="10" max="10" width="11.125" bestFit="1" customWidth="1"/>
    <col min="11" max="13" width="11.125" customWidth="1"/>
    <col min="14" max="15" width="16.375" customWidth="1"/>
    <col min="16" max="16" width="19.875" style="229" bestFit="1" customWidth="1"/>
    <col min="17" max="17" width="26.875" bestFit="1" customWidth="1"/>
    <col min="18" max="18" width="18.375" bestFit="1" customWidth="1"/>
  </cols>
  <sheetData>
    <row r="1" spans="1:18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228"/>
      <c r="Q1" s="171"/>
      <c r="R1" s="172"/>
    </row>
    <row r="2" spans="1:18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232</v>
      </c>
      <c r="J2" s="193" t="s">
        <v>233</v>
      </c>
      <c r="K2" s="216" t="s">
        <v>234</v>
      </c>
      <c r="L2" s="216" t="s">
        <v>235</v>
      </c>
      <c r="M2" s="216" t="s">
        <v>236</v>
      </c>
      <c r="N2" s="216" t="s">
        <v>237</v>
      </c>
      <c r="O2" s="216" t="s">
        <v>254</v>
      </c>
      <c r="P2" s="236" t="s">
        <v>238</v>
      </c>
      <c r="Q2" s="261" t="s">
        <v>239</v>
      </c>
      <c r="R2" s="216" t="s">
        <v>240</v>
      </c>
    </row>
    <row r="3" spans="1:18">
      <c r="A3" s="198" t="s">
        <v>96</v>
      </c>
      <c r="B3" s="198" t="s">
        <v>279</v>
      </c>
      <c r="C3" s="238" t="s">
        <v>98</v>
      </c>
      <c r="D3" s="198" t="s">
        <v>99</v>
      </c>
      <c r="E3" s="198" t="s">
        <v>34</v>
      </c>
      <c r="F3" s="198" t="s">
        <v>256</v>
      </c>
      <c r="G3" s="198" t="s">
        <v>20</v>
      </c>
      <c r="H3" s="199" t="s">
        <v>306</v>
      </c>
      <c r="I3" s="244">
        <v>46087</v>
      </c>
      <c r="J3" s="207">
        <v>38073</v>
      </c>
      <c r="K3" s="237">
        <v>38353</v>
      </c>
      <c r="L3" s="237">
        <v>38637</v>
      </c>
      <c r="M3" s="207">
        <v>38911</v>
      </c>
      <c r="N3" s="207"/>
      <c r="O3" s="207"/>
      <c r="P3" s="242" t="s">
        <v>300</v>
      </c>
      <c r="Q3" s="260" t="s">
        <v>259</v>
      </c>
      <c r="R3" s="229" t="s">
        <v>305</v>
      </c>
    </row>
    <row r="4" spans="1:18" s="19" customFormat="1">
      <c r="A4" s="235" t="s">
        <v>14</v>
      </c>
      <c r="B4" s="235" t="s">
        <v>126</v>
      </c>
      <c r="C4" s="238" t="s">
        <v>32</v>
      </c>
      <c r="D4" s="235" t="s">
        <v>24</v>
      </c>
      <c r="E4" s="235" t="s">
        <v>34</v>
      </c>
      <c r="F4" s="267" t="s">
        <v>139</v>
      </c>
      <c r="G4" s="238" t="s">
        <v>20</v>
      </c>
      <c r="H4" s="245" t="s">
        <v>304</v>
      </c>
      <c r="I4" s="244">
        <v>46087</v>
      </c>
      <c r="J4" s="234">
        <v>37767</v>
      </c>
      <c r="K4" s="237">
        <v>38741</v>
      </c>
      <c r="L4" s="237">
        <v>39361</v>
      </c>
      <c r="M4" s="234" t="s">
        <v>58</v>
      </c>
      <c r="N4" s="234"/>
      <c r="O4" s="234"/>
      <c r="P4" s="242" t="s">
        <v>309</v>
      </c>
      <c r="Q4" s="270" t="s">
        <v>259</v>
      </c>
      <c r="R4" s="241" t="s">
        <v>310</v>
      </c>
    </row>
    <row r="5" spans="1:18" s="19" customFormat="1">
      <c r="A5" s="235" t="s">
        <v>14</v>
      </c>
      <c r="B5" s="235" t="s">
        <v>92</v>
      </c>
      <c r="C5" s="235" t="s">
        <v>49</v>
      </c>
      <c r="D5" s="235" t="s">
        <v>24</v>
      </c>
      <c r="E5" s="235" t="s">
        <v>34</v>
      </c>
      <c r="F5" s="267" t="s">
        <v>93</v>
      </c>
      <c r="G5" s="235" t="s">
        <v>20</v>
      </c>
      <c r="H5" s="245" t="s">
        <v>286</v>
      </c>
      <c r="I5" s="244">
        <v>46087</v>
      </c>
      <c r="J5" s="234">
        <v>32041</v>
      </c>
      <c r="K5" s="234">
        <v>33062</v>
      </c>
      <c r="L5" s="234">
        <v>33515</v>
      </c>
      <c r="M5" s="234">
        <v>33862</v>
      </c>
      <c r="N5" s="234"/>
      <c r="O5" s="234"/>
      <c r="P5" s="269" t="s">
        <v>311</v>
      </c>
      <c r="Q5" s="270" t="s">
        <v>259</v>
      </c>
      <c r="R5" s="269" t="s">
        <v>312</v>
      </c>
    </row>
    <row r="6" spans="1:18" s="19" customFormat="1">
      <c r="A6" s="238" t="s">
        <v>14</v>
      </c>
      <c r="B6" s="238" t="s">
        <v>15</v>
      </c>
      <c r="C6" s="238" t="s">
        <v>16</v>
      </c>
      <c r="D6" s="238" t="s">
        <v>165</v>
      </c>
      <c r="E6" s="238" t="s">
        <v>165</v>
      </c>
      <c r="F6" s="271" t="s">
        <v>283</v>
      </c>
      <c r="G6" s="238" t="s">
        <v>20</v>
      </c>
      <c r="H6" s="266" t="s">
        <v>299</v>
      </c>
      <c r="I6" s="244">
        <v>46087</v>
      </c>
      <c r="J6" s="280">
        <v>52422</v>
      </c>
      <c r="K6" s="234">
        <v>52851</v>
      </c>
      <c r="L6" s="234">
        <v>53707</v>
      </c>
      <c r="M6" s="234">
        <v>54501</v>
      </c>
      <c r="N6" s="234"/>
      <c r="O6" s="234"/>
      <c r="P6" s="269"/>
      <c r="Q6" s="270" t="s">
        <v>259</v>
      </c>
      <c r="R6" s="269"/>
    </row>
    <row r="7" spans="1:18" s="19" customFormat="1">
      <c r="A7" s="235" t="s">
        <v>14</v>
      </c>
      <c r="B7" s="235" t="s">
        <v>126</v>
      </c>
      <c r="C7" s="238" t="s">
        <v>23</v>
      </c>
      <c r="D7" s="235" t="s">
        <v>24</v>
      </c>
      <c r="E7" s="235" t="s">
        <v>34</v>
      </c>
      <c r="F7" s="267" t="s">
        <v>176</v>
      </c>
      <c r="G7" s="238" t="s">
        <v>20</v>
      </c>
      <c r="H7" s="245" t="s">
        <v>66</v>
      </c>
      <c r="I7" s="244">
        <v>46087</v>
      </c>
      <c r="J7" s="234">
        <v>32286</v>
      </c>
      <c r="K7" s="234">
        <v>32730</v>
      </c>
      <c r="L7" s="234">
        <v>33493</v>
      </c>
      <c r="M7" s="234">
        <v>34042</v>
      </c>
      <c r="N7" s="234"/>
      <c r="O7" s="234"/>
      <c r="P7" s="269" t="s">
        <v>311</v>
      </c>
      <c r="Q7" s="270" t="s">
        <v>259</v>
      </c>
      <c r="R7" s="241" t="s">
        <v>312</v>
      </c>
    </row>
    <row r="8" spans="1:18" s="19" customFormat="1">
      <c r="A8" s="235" t="s">
        <v>14</v>
      </c>
      <c r="B8" s="235" t="s">
        <v>27</v>
      </c>
      <c r="C8" s="235" t="s">
        <v>28</v>
      </c>
      <c r="D8" s="235" t="s">
        <v>24</v>
      </c>
      <c r="E8" s="235" t="s">
        <v>165</v>
      </c>
      <c r="F8" s="267" t="s">
        <v>29</v>
      </c>
      <c r="G8" s="238" t="s">
        <v>20</v>
      </c>
      <c r="H8" s="245" t="s">
        <v>246</v>
      </c>
      <c r="I8" s="244">
        <v>46087</v>
      </c>
      <c r="J8" s="234" t="s">
        <v>58</v>
      </c>
      <c r="K8" s="234">
        <v>121342</v>
      </c>
      <c r="L8" s="234">
        <v>123217</v>
      </c>
      <c r="M8" s="234">
        <v>124019</v>
      </c>
      <c r="N8" s="234"/>
      <c r="O8" s="234"/>
      <c r="P8" s="241" t="s">
        <v>265</v>
      </c>
      <c r="Q8" s="270" t="s">
        <v>259</v>
      </c>
      <c r="R8" s="241" t="s">
        <v>268</v>
      </c>
    </row>
    <row r="9" spans="1:18" s="19" customFormat="1">
      <c r="A9" s="238" t="s">
        <v>14</v>
      </c>
      <c r="B9" s="238" t="s">
        <v>281</v>
      </c>
      <c r="C9" s="238" t="s">
        <v>52</v>
      </c>
      <c r="D9" s="238" t="s">
        <v>99</v>
      </c>
      <c r="E9" s="235" t="s">
        <v>34</v>
      </c>
      <c r="F9" s="271" t="s">
        <v>280</v>
      </c>
      <c r="G9" s="238" t="s">
        <v>20</v>
      </c>
      <c r="H9" s="248" t="s">
        <v>303</v>
      </c>
      <c r="I9" s="244">
        <v>46087</v>
      </c>
      <c r="J9" s="234">
        <v>2875</v>
      </c>
      <c r="K9" s="234">
        <v>3428</v>
      </c>
      <c r="L9" s="234">
        <v>4128</v>
      </c>
      <c r="M9" s="234" t="s">
        <v>307</v>
      </c>
      <c r="N9" s="234"/>
      <c r="O9" s="234"/>
      <c r="P9" s="274" t="s">
        <v>282</v>
      </c>
      <c r="Q9" s="270" t="s">
        <v>259</v>
      </c>
      <c r="R9" s="274" t="s">
        <v>301</v>
      </c>
    </row>
    <row r="10" spans="1:18" s="19" customFormat="1">
      <c r="A10" s="235" t="s">
        <v>14</v>
      </c>
      <c r="B10" s="235" t="s">
        <v>126</v>
      </c>
      <c r="C10" s="238" t="s">
        <v>41</v>
      </c>
      <c r="D10" s="235" t="s">
        <v>24</v>
      </c>
      <c r="E10" s="235" t="s">
        <v>34</v>
      </c>
      <c r="F10" s="267" t="s">
        <v>166</v>
      </c>
      <c r="G10" s="235" t="s">
        <v>20</v>
      </c>
      <c r="H10" s="245" t="s">
        <v>91</v>
      </c>
      <c r="I10" s="244">
        <v>46087</v>
      </c>
      <c r="J10" s="234">
        <v>33200</v>
      </c>
      <c r="K10" s="234">
        <v>33881</v>
      </c>
      <c r="L10" s="234">
        <v>34499</v>
      </c>
      <c r="M10" s="234">
        <v>35523</v>
      </c>
      <c r="N10" s="234"/>
      <c r="O10" s="234"/>
      <c r="P10" s="269" t="s">
        <v>302</v>
      </c>
      <c r="Q10" s="270" t="s">
        <v>259</v>
      </c>
      <c r="R10" s="269" t="s">
        <v>313</v>
      </c>
    </row>
    <row r="11" spans="1:18" s="19" customFormat="1">
      <c r="A11" s="275" t="s">
        <v>14</v>
      </c>
      <c r="B11" s="235" t="s">
        <v>126</v>
      </c>
      <c r="C11" s="275" t="s">
        <v>47</v>
      </c>
      <c r="D11" s="275" t="s">
        <v>24</v>
      </c>
      <c r="E11" s="235" t="s">
        <v>34</v>
      </c>
      <c r="F11" s="276" t="s">
        <v>180</v>
      </c>
      <c r="G11" s="275" t="s">
        <v>20</v>
      </c>
      <c r="H11" s="246" t="s">
        <v>318</v>
      </c>
      <c r="I11" s="244">
        <v>46087</v>
      </c>
      <c r="J11" s="234">
        <v>30851</v>
      </c>
      <c r="K11" s="234">
        <v>31673</v>
      </c>
      <c r="L11" s="277">
        <v>32451</v>
      </c>
      <c r="M11" s="234">
        <v>32832</v>
      </c>
      <c r="N11" s="234"/>
      <c r="O11" s="234"/>
      <c r="P11" s="269" t="s">
        <v>297</v>
      </c>
      <c r="Q11" s="270" t="s">
        <v>269</v>
      </c>
      <c r="R11" s="241" t="s">
        <v>314</v>
      </c>
    </row>
    <row r="12" spans="1:18" s="19" customFormat="1">
      <c r="A12" s="247" t="s">
        <v>14</v>
      </c>
      <c r="B12" s="278" t="s">
        <v>27</v>
      </c>
      <c r="C12" s="278" t="s">
        <v>270</v>
      </c>
      <c r="D12" s="247" t="s">
        <v>165</v>
      </c>
      <c r="E12" s="247" t="s">
        <v>165</v>
      </c>
      <c r="F12" s="279" t="s">
        <v>169</v>
      </c>
      <c r="G12" s="247" t="s">
        <v>20</v>
      </c>
      <c r="H12" s="247" t="s">
        <v>298</v>
      </c>
      <c r="I12" s="244">
        <v>46087</v>
      </c>
      <c r="J12" s="234">
        <v>126961</v>
      </c>
      <c r="K12" s="234">
        <v>127823</v>
      </c>
      <c r="L12" s="234">
        <v>128424</v>
      </c>
      <c r="M12" s="234">
        <v>129551</v>
      </c>
      <c r="N12" s="234"/>
      <c r="O12" s="234"/>
      <c r="P12" s="241" t="s">
        <v>297</v>
      </c>
      <c r="Q12" s="270" t="s">
        <v>269</v>
      </c>
      <c r="R12" s="241" t="s">
        <v>315</v>
      </c>
    </row>
    <row r="14" spans="1:18">
      <c r="A14" s="169" t="s">
        <v>1</v>
      </c>
      <c r="B14" s="170"/>
      <c r="C14" s="170"/>
      <c r="D14" s="170"/>
      <c r="E14" s="170"/>
      <c r="F14" s="255"/>
      <c r="G14" s="170"/>
      <c r="H14" s="170"/>
      <c r="I14" s="170"/>
      <c r="J14" s="170"/>
      <c r="K14" s="170"/>
      <c r="L14" s="170"/>
      <c r="M14" s="170"/>
      <c r="N14" s="170"/>
      <c r="O14" s="170"/>
      <c r="P14" s="228"/>
      <c r="Q14" s="171"/>
      <c r="R14" s="172"/>
    </row>
    <row r="15" spans="1:18" hidden="1">
      <c r="A15" s="193" t="s">
        <v>2</v>
      </c>
      <c r="B15" s="193" t="s">
        <v>3</v>
      </c>
      <c r="C15" s="193" t="s">
        <v>4</v>
      </c>
      <c r="D15" s="193" t="s">
        <v>5</v>
      </c>
      <c r="E15" s="193" t="s">
        <v>6</v>
      </c>
      <c r="F15" s="193" t="s">
        <v>7</v>
      </c>
      <c r="G15" s="193" t="s">
        <v>8</v>
      </c>
      <c r="H15" s="193" t="s">
        <v>9</v>
      </c>
      <c r="I15" s="193" t="s">
        <v>10</v>
      </c>
      <c r="J15" s="193" t="s">
        <v>247</v>
      </c>
      <c r="K15" s="216" t="s">
        <v>234</v>
      </c>
      <c r="L15" s="216" t="s">
        <v>235</v>
      </c>
      <c r="M15" s="216" t="s">
        <v>236</v>
      </c>
      <c r="N15" s="216" t="s">
        <v>237</v>
      </c>
      <c r="O15" s="216"/>
      <c r="P15" s="230" t="s">
        <v>238</v>
      </c>
      <c r="Q15" s="231" t="s">
        <v>248</v>
      </c>
      <c r="R15" s="232" t="s">
        <v>240</v>
      </c>
    </row>
    <row r="16" spans="1:18" hidden="1">
      <c r="A16" s="198" t="s">
        <v>96</v>
      </c>
      <c r="B16" s="198" t="s">
        <v>97</v>
      </c>
      <c r="C16" s="198" t="s">
        <v>98</v>
      </c>
      <c r="D16" s="198" t="s">
        <v>99</v>
      </c>
      <c r="E16" s="198" t="s">
        <v>18</v>
      </c>
      <c r="F16" s="198" t="s">
        <v>100</v>
      </c>
      <c r="G16" s="198" t="s">
        <v>20</v>
      </c>
      <c r="H16" s="200" t="s">
        <v>101</v>
      </c>
      <c r="I16" s="161">
        <v>45912</v>
      </c>
      <c r="J16" s="201">
        <f>SUM(K16:N16)</f>
        <v>-36391</v>
      </c>
      <c r="K16" s="207">
        <f>K3-$J3</f>
        <v>280</v>
      </c>
      <c r="L16" s="207">
        <f t="shared" ref="L16:N25" si="0">L3-$J3</f>
        <v>564</v>
      </c>
      <c r="M16" s="207">
        <f t="shared" si="0"/>
        <v>838</v>
      </c>
      <c r="N16" s="207">
        <f t="shared" si="0"/>
        <v>-38073</v>
      </c>
      <c r="O16" s="207"/>
      <c r="P16" s="141">
        <v>45891</v>
      </c>
      <c r="Q16" s="218"/>
      <c r="R16" s="98"/>
    </row>
    <row r="17" spans="1:18" hidden="1">
      <c r="A17" s="198" t="s">
        <v>14</v>
      </c>
      <c r="B17" s="198" t="s">
        <v>126</v>
      </c>
      <c r="C17" s="198" t="s">
        <v>32</v>
      </c>
      <c r="D17" s="198" t="s">
        <v>24</v>
      </c>
      <c r="E17" s="198" t="s">
        <v>18</v>
      </c>
      <c r="F17" s="198" t="s">
        <v>139</v>
      </c>
      <c r="G17" s="197" t="s">
        <v>20</v>
      </c>
      <c r="H17" s="199" t="s">
        <v>66</v>
      </c>
      <c r="I17" s="161">
        <v>45912</v>
      </c>
      <c r="J17" s="201" t="e">
        <f t="shared" ref="J17:J25" si="1">SUM(K17:N17)</f>
        <v>#VALUE!</v>
      </c>
      <c r="K17" s="207">
        <f t="shared" ref="K17:K25" si="2">K4-$J4</f>
        <v>974</v>
      </c>
      <c r="L17" s="207">
        <f t="shared" si="0"/>
        <v>1594</v>
      </c>
      <c r="M17" s="207" t="e">
        <f t="shared" si="0"/>
        <v>#VALUE!</v>
      </c>
      <c r="N17" s="207">
        <f t="shared" si="0"/>
        <v>-37767</v>
      </c>
      <c r="O17" s="207"/>
      <c r="P17" s="141">
        <v>45896</v>
      </c>
      <c r="Q17" s="218" t="s">
        <v>120</v>
      </c>
      <c r="R17" s="99">
        <v>45921</v>
      </c>
    </row>
    <row r="18" spans="1:18" hidden="1">
      <c r="A18" s="198" t="s">
        <v>14</v>
      </c>
      <c r="B18" s="198" t="s">
        <v>92</v>
      </c>
      <c r="C18" s="198" t="s">
        <v>49</v>
      </c>
      <c r="D18" s="198" t="s">
        <v>24</v>
      </c>
      <c r="E18" s="198" t="s">
        <v>18</v>
      </c>
      <c r="F18" s="198" t="s">
        <v>93</v>
      </c>
      <c r="G18" s="198" t="s">
        <v>20</v>
      </c>
      <c r="H18" s="200" t="s">
        <v>94</v>
      </c>
      <c r="I18" s="161">
        <v>45912</v>
      </c>
      <c r="J18" s="201">
        <f t="shared" si="1"/>
        <v>-27725</v>
      </c>
      <c r="K18" s="207">
        <f t="shared" si="2"/>
        <v>1021</v>
      </c>
      <c r="L18" s="207">
        <f t="shared" si="0"/>
        <v>1474</v>
      </c>
      <c r="M18" s="207">
        <f t="shared" si="0"/>
        <v>1821</v>
      </c>
      <c r="N18" s="207">
        <f t="shared" si="0"/>
        <v>-32041</v>
      </c>
      <c r="O18" s="207"/>
      <c r="P18" s="141">
        <v>45908</v>
      </c>
      <c r="Q18" s="182" t="s">
        <v>194</v>
      </c>
      <c r="R18" s="99">
        <v>45919</v>
      </c>
    </row>
    <row r="19" spans="1:18" hidden="1">
      <c r="A19" s="197" t="s">
        <v>14</v>
      </c>
      <c r="B19" s="197" t="s">
        <v>15</v>
      </c>
      <c r="C19" s="198" t="s">
        <v>16</v>
      </c>
      <c r="D19" s="197" t="s">
        <v>17</v>
      </c>
      <c r="E19" s="197" t="s">
        <v>18</v>
      </c>
      <c r="F19" s="197" t="s">
        <v>19</v>
      </c>
      <c r="G19" s="197" t="s">
        <v>20</v>
      </c>
      <c r="H19" s="199" t="s">
        <v>21</v>
      </c>
      <c r="I19" s="161">
        <v>45912</v>
      </c>
      <c r="J19" s="201">
        <f t="shared" si="1"/>
        <v>-48629</v>
      </c>
      <c r="K19" s="207">
        <f t="shared" si="2"/>
        <v>429</v>
      </c>
      <c r="L19" s="207">
        <f t="shared" si="0"/>
        <v>1285</v>
      </c>
      <c r="M19" s="207">
        <f t="shared" si="0"/>
        <v>2079</v>
      </c>
      <c r="N19" s="207">
        <f t="shared" si="0"/>
        <v>-52422</v>
      </c>
      <c r="O19" s="207"/>
      <c r="P19" s="141">
        <v>45916</v>
      </c>
      <c r="Q19" s="182" t="s">
        <v>194</v>
      </c>
      <c r="R19" s="99">
        <v>45924</v>
      </c>
    </row>
    <row r="20" spans="1:18" hidden="1">
      <c r="A20" s="198" t="s">
        <v>14</v>
      </c>
      <c r="B20" s="198" t="s">
        <v>126</v>
      </c>
      <c r="C20" s="198" t="s">
        <v>23</v>
      </c>
      <c r="D20" s="198" t="s">
        <v>24</v>
      </c>
      <c r="E20" s="198" t="s">
        <v>18</v>
      </c>
      <c r="F20" s="198" t="s">
        <v>176</v>
      </c>
      <c r="G20" s="197" t="s">
        <v>20</v>
      </c>
      <c r="H20" s="199" t="s">
        <v>66</v>
      </c>
      <c r="I20" s="161">
        <v>45912</v>
      </c>
      <c r="J20" s="201">
        <f t="shared" si="1"/>
        <v>-28879</v>
      </c>
      <c r="K20" s="207">
        <f t="shared" si="2"/>
        <v>444</v>
      </c>
      <c r="L20" s="207">
        <f t="shared" si="0"/>
        <v>1207</v>
      </c>
      <c r="M20" s="207">
        <f t="shared" si="0"/>
        <v>1756</v>
      </c>
      <c r="N20" s="207">
        <f t="shared" si="0"/>
        <v>-32286</v>
      </c>
      <c r="O20" s="207"/>
      <c r="P20" s="141">
        <v>45901</v>
      </c>
      <c r="Q20" s="182" t="s">
        <v>120</v>
      </c>
      <c r="R20" s="99">
        <v>45920</v>
      </c>
    </row>
    <row r="21" spans="1:18" hidden="1">
      <c r="A21" s="198" t="s">
        <v>14</v>
      </c>
      <c r="B21" s="198" t="s">
        <v>27</v>
      </c>
      <c r="C21" s="198" t="s">
        <v>28</v>
      </c>
      <c r="D21" s="198" t="s">
        <v>17</v>
      </c>
      <c r="E21" s="198" t="s">
        <v>18</v>
      </c>
      <c r="F21" s="198" t="s">
        <v>29</v>
      </c>
      <c r="G21" s="197" t="s">
        <v>20</v>
      </c>
      <c r="H21" s="199" t="s">
        <v>30</v>
      </c>
      <c r="I21" s="161">
        <v>45912</v>
      </c>
      <c r="J21" s="201" t="e">
        <f t="shared" si="1"/>
        <v>#VALUE!</v>
      </c>
      <c r="K21" s="207" t="e">
        <f>K8-$J8</f>
        <v>#VALUE!</v>
      </c>
      <c r="L21" s="207" t="e">
        <f t="shared" si="0"/>
        <v>#VALUE!</v>
      </c>
      <c r="M21" s="207" t="e">
        <f t="shared" si="0"/>
        <v>#VALUE!</v>
      </c>
      <c r="N21" s="207" t="e">
        <f t="shared" si="0"/>
        <v>#VALUE!</v>
      </c>
      <c r="O21" s="207"/>
      <c r="P21" s="141">
        <v>45904</v>
      </c>
      <c r="Q21" s="218" t="s">
        <v>120</v>
      </c>
      <c r="R21" s="99">
        <v>45926</v>
      </c>
    </row>
    <row r="22" spans="1:18" hidden="1">
      <c r="A22" s="197" t="s">
        <v>14</v>
      </c>
      <c r="B22" s="197" t="s">
        <v>126</v>
      </c>
      <c r="C22" s="198" t="s">
        <v>52</v>
      </c>
      <c r="D22" s="197" t="s">
        <v>24</v>
      </c>
      <c r="E22" s="197" t="s">
        <v>18</v>
      </c>
      <c r="F22" s="197" t="s">
        <v>167</v>
      </c>
      <c r="G22" s="197" t="s">
        <v>20</v>
      </c>
      <c r="H22" s="199" t="s">
        <v>132</v>
      </c>
      <c r="I22" s="161">
        <v>45912</v>
      </c>
      <c r="J22" s="201" t="e">
        <f t="shared" si="1"/>
        <v>#VALUE!</v>
      </c>
      <c r="K22" s="207">
        <f>K9-$J9</f>
        <v>553</v>
      </c>
      <c r="L22" s="207">
        <f t="shared" si="0"/>
        <v>1253</v>
      </c>
      <c r="M22" s="207" t="e">
        <f t="shared" si="0"/>
        <v>#VALUE!</v>
      </c>
      <c r="N22" s="207">
        <f t="shared" si="0"/>
        <v>-2875</v>
      </c>
      <c r="O22" s="251"/>
      <c r="P22" s="59">
        <v>45905</v>
      </c>
      <c r="Q22" s="184" t="s">
        <v>120</v>
      </c>
      <c r="R22" s="99">
        <v>45924</v>
      </c>
    </row>
    <row r="23" spans="1:18" hidden="1">
      <c r="A23" s="198" t="s">
        <v>14</v>
      </c>
      <c r="B23" s="198" t="s">
        <v>164</v>
      </c>
      <c r="C23" s="198" t="s">
        <v>41</v>
      </c>
      <c r="D23" s="198" t="s">
        <v>165</v>
      </c>
      <c r="E23" s="198" t="s">
        <v>18</v>
      </c>
      <c r="F23" s="198" t="s">
        <v>166</v>
      </c>
      <c r="G23" s="198" t="s">
        <v>20</v>
      </c>
      <c r="H23" s="200" t="s">
        <v>91</v>
      </c>
      <c r="I23" s="161">
        <v>45912</v>
      </c>
      <c r="J23" s="201">
        <f t="shared" si="1"/>
        <v>-28897</v>
      </c>
      <c r="K23" s="207">
        <f t="shared" si="2"/>
        <v>681</v>
      </c>
      <c r="L23" s="207">
        <f t="shared" si="0"/>
        <v>1299</v>
      </c>
      <c r="M23" s="207">
        <f t="shared" si="0"/>
        <v>2323</v>
      </c>
      <c r="N23" s="207">
        <f t="shared" si="0"/>
        <v>-33200</v>
      </c>
      <c r="O23" s="207"/>
      <c r="P23" s="141">
        <v>45918</v>
      </c>
      <c r="Q23" s="184" t="s">
        <v>194</v>
      </c>
      <c r="R23" s="99">
        <v>45923</v>
      </c>
    </row>
    <row r="24" spans="1:18" hidden="1">
      <c r="A24" s="209" t="s">
        <v>14</v>
      </c>
      <c r="B24" s="209" t="s">
        <v>31</v>
      </c>
      <c r="C24" s="209" t="s">
        <v>47</v>
      </c>
      <c r="D24" s="209" t="s">
        <v>24</v>
      </c>
      <c r="E24" s="209" t="s">
        <v>18</v>
      </c>
      <c r="F24" s="209" t="s">
        <v>180</v>
      </c>
      <c r="G24" s="209" t="s">
        <v>20</v>
      </c>
      <c r="H24" s="217" t="s">
        <v>163</v>
      </c>
      <c r="I24" s="161">
        <v>45912</v>
      </c>
      <c r="J24" s="201">
        <f t="shared" si="1"/>
        <v>-26448</v>
      </c>
      <c r="K24" s="207">
        <f t="shared" si="2"/>
        <v>822</v>
      </c>
      <c r="L24" s="207">
        <f t="shared" si="0"/>
        <v>1600</v>
      </c>
      <c r="M24" s="207">
        <f t="shared" si="0"/>
        <v>1981</v>
      </c>
      <c r="N24" s="207">
        <f t="shared" si="0"/>
        <v>-30851</v>
      </c>
      <c r="O24" s="207"/>
      <c r="P24" s="141">
        <v>45901</v>
      </c>
      <c r="Q24" s="184" t="s">
        <v>120</v>
      </c>
      <c r="R24" s="99">
        <v>45922</v>
      </c>
    </row>
    <row r="25" spans="1:18" hidden="1">
      <c r="A25" s="202" t="s">
        <v>14</v>
      </c>
      <c r="B25" s="204" t="s">
        <v>31</v>
      </c>
      <c r="C25" s="204" t="s">
        <v>168</v>
      </c>
      <c r="D25" s="202" t="s">
        <v>165</v>
      </c>
      <c r="E25" s="202" t="s">
        <v>18</v>
      </c>
      <c r="F25" s="202" t="s">
        <v>169</v>
      </c>
      <c r="G25" s="202" t="s">
        <v>20</v>
      </c>
      <c r="H25" s="202" t="s">
        <v>91</v>
      </c>
      <c r="I25" s="161">
        <v>45912</v>
      </c>
      <c r="J25" s="201">
        <f t="shared" si="1"/>
        <v>-122046</v>
      </c>
      <c r="K25" s="207">
        <f t="shared" si="2"/>
        <v>862</v>
      </c>
      <c r="L25" s="207">
        <f t="shared" si="0"/>
        <v>1463</v>
      </c>
      <c r="M25" s="207">
        <f t="shared" si="0"/>
        <v>2590</v>
      </c>
      <c r="N25" s="207">
        <f t="shared" si="0"/>
        <v>-126961</v>
      </c>
      <c r="O25" s="207"/>
      <c r="P25" s="141">
        <v>45905</v>
      </c>
      <c r="Q25" s="184" t="s">
        <v>120</v>
      </c>
      <c r="R25" s="99">
        <v>45922</v>
      </c>
    </row>
    <row r="26" spans="1:18" ht="14.95" thickBot="1"/>
    <row r="27" spans="1:18" ht="28.55">
      <c r="A27" s="319" t="s">
        <v>249</v>
      </c>
      <c r="B27" s="320"/>
      <c r="C27" s="320"/>
      <c r="D27" s="320"/>
      <c r="E27" s="320"/>
      <c r="F27" s="226"/>
      <c r="G27" s="250" t="s">
        <v>238</v>
      </c>
      <c r="H27" s="259" t="s">
        <v>257</v>
      </c>
    </row>
    <row r="28" spans="1:18" ht="14.95" thickBot="1">
      <c r="A28" s="227" t="s">
        <v>250</v>
      </c>
      <c r="B28" s="222" t="s">
        <v>234</v>
      </c>
      <c r="C28" s="222" t="s">
        <v>235</v>
      </c>
      <c r="D28" s="222" t="s">
        <v>236</v>
      </c>
      <c r="E28" s="223" t="s">
        <v>237</v>
      </c>
      <c r="F28" s="223" t="s">
        <v>254</v>
      </c>
      <c r="G28" s="224" t="s">
        <v>251</v>
      </c>
      <c r="H28" s="225"/>
      <c r="P28"/>
      <c r="Q28" s="229"/>
    </row>
    <row r="29" spans="1:18" ht="14.95" thickBot="1">
      <c r="A29" s="252" t="s">
        <v>98</v>
      </c>
      <c r="B29" s="253">
        <f>K3-J3</f>
        <v>280</v>
      </c>
      <c r="C29" s="254">
        <f>L3-K3</f>
        <v>284</v>
      </c>
      <c r="D29" s="254">
        <f>M3-L3</f>
        <v>274</v>
      </c>
      <c r="E29" s="254">
        <f>N3-M3</f>
        <v>-38911</v>
      </c>
      <c r="F29" s="254">
        <f>O3-N3</f>
        <v>0</v>
      </c>
      <c r="G29" s="257">
        <f>SUM(B29:F29)</f>
        <v>-38073</v>
      </c>
      <c r="H29" s="239" t="str">
        <f>R3</f>
        <v>20.03.2026</v>
      </c>
      <c r="P29"/>
      <c r="Q29" s="229"/>
    </row>
    <row r="30" spans="1:18" ht="14.95" thickBot="1">
      <c r="A30" s="219" t="s">
        <v>32</v>
      </c>
      <c r="B30" s="253">
        <f t="shared" ref="B30:F38" si="3">K4-J4</f>
        <v>974</v>
      </c>
      <c r="C30" s="254">
        <f t="shared" si="3"/>
        <v>620</v>
      </c>
      <c r="D30" s="254" t="e">
        <f t="shared" si="3"/>
        <v>#VALUE!</v>
      </c>
      <c r="E30" s="254" t="e">
        <f t="shared" si="3"/>
        <v>#VALUE!</v>
      </c>
      <c r="F30" s="254">
        <f t="shared" si="3"/>
        <v>0</v>
      </c>
      <c r="G30" s="257" t="e">
        <f>SUM(B30:F30)</f>
        <v>#VALUE!</v>
      </c>
      <c r="H30" s="239" t="str">
        <f t="shared" ref="H30:H38" si="4">R4</f>
        <v>01.04.2026</v>
      </c>
      <c r="P30"/>
      <c r="Q30" s="229"/>
    </row>
    <row r="31" spans="1:18" ht="14.95" thickBot="1">
      <c r="A31" s="219" t="s">
        <v>49</v>
      </c>
      <c r="B31" s="253">
        <f t="shared" si="3"/>
        <v>1021</v>
      </c>
      <c r="C31" s="254">
        <f t="shared" si="3"/>
        <v>453</v>
      </c>
      <c r="D31" s="254">
        <f t="shared" si="3"/>
        <v>347</v>
      </c>
      <c r="E31" s="254">
        <f t="shared" si="3"/>
        <v>-33862</v>
      </c>
      <c r="F31" s="254">
        <f t="shared" si="3"/>
        <v>0</v>
      </c>
      <c r="G31" s="257">
        <f t="shared" ref="G31:G38" si="5">SUM(B31:F31)</f>
        <v>-32041</v>
      </c>
      <c r="H31" s="239" t="str">
        <f t="shared" si="4"/>
        <v>30.04.2026</v>
      </c>
      <c r="P31"/>
      <c r="Q31" s="229"/>
    </row>
    <row r="32" spans="1:18" ht="14.95" thickBot="1">
      <c r="A32" s="219" t="s">
        <v>16</v>
      </c>
      <c r="B32" s="253">
        <f t="shared" si="3"/>
        <v>429</v>
      </c>
      <c r="C32" s="254">
        <f t="shared" si="3"/>
        <v>856</v>
      </c>
      <c r="D32" s="254">
        <f t="shared" si="3"/>
        <v>794</v>
      </c>
      <c r="E32" s="254">
        <f t="shared" si="3"/>
        <v>-54501</v>
      </c>
      <c r="F32" s="254">
        <f t="shared" si="3"/>
        <v>0</v>
      </c>
      <c r="G32" s="257">
        <f t="shared" si="5"/>
        <v>-52422</v>
      </c>
      <c r="H32" s="239">
        <f>R6</f>
        <v>0</v>
      </c>
      <c r="P32"/>
      <c r="Q32" s="229"/>
    </row>
    <row r="33" spans="1:17" ht="14.95" thickBot="1">
      <c r="A33" s="219" t="s">
        <v>23</v>
      </c>
      <c r="B33" s="253">
        <f t="shared" si="3"/>
        <v>444</v>
      </c>
      <c r="C33" s="254">
        <f t="shared" si="3"/>
        <v>763</v>
      </c>
      <c r="D33" s="254">
        <f t="shared" si="3"/>
        <v>549</v>
      </c>
      <c r="E33" s="254">
        <f t="shared" si="3"/>
        <v>-34042</v>
      </c>
      <c r="F33" s="254">
        <f t="shared" si="3"/>
        <v>0</v>
      </c>
      <c r="G33" s="257">
        <f t="shared" si="5"/>
        <v>-32286</v>
      </c>
      <c r="H33" s="239" t="str">
        <f t="shared" si="4"/>
        <v>30.04.2026</v>
      </c>
      <c r="P33"/>
      <c r="Q33" s="229"/>
    </row>
    <row r="34" spans="1:17" ht="14.95" thickBot="1">
      <c r="A34" s="219" t="s">
        <v>28</v>
      </c>
      <c r="B34" s="253" t="e">
        <f>K8-J8</f>
        <v>#VALUE!</v>
      </c>
      <c r="C34" s="254">
        <f>L8-K8</f>
        <v>1875</v>
      </c>
      <c r="D34" s="254">
        <f t="shared" si="3"/>
        <v>802</v>
      </c>
      <c r="E34" s="254">
        <f t="shared" si="3"/>
        <v>-124019</v>
      </c>
      <c r="F34" s="254">
        <f t="shared" si="3"/>
        <v>0</v>
      </c>
      <c r="G34" s="257" t="e">
        <f t="shared" si="5"/>
        <v>#VALUE!</v>
      </c>
      <c r="H34" s="239" t="str">
        <f t="shared" si="4"/>
        <v>30.01.2026</v>
      </c>
      <c r="P34"/>
      <c r="Q34" s="229"/>
    </row>
    <row r="35" spans="1:17" ht="14.95" thickBot="1">
      <c r="A35" s="219" t="s">
        <v>52</v>
      </c>
      <c r="B35" s="253">
        <f>K9-J9</f>
        <v>553</v>
      </c>
      <c r="C35" s="254">
        <f>L9-K9</f>
        <v>700</v>
      </c>
      <c r="D35" s="254" t="e">
        <f t="shared" si="3"/>
        <v>#VALUE!</v>
      </c>
      <c r="E35" s="254" t="e">
        <f t="shared" si="3"/>
        <v>#VALUE!</v>
      </c>
      <c r="F35" s="254">
        <f t="shared" si="3"/>
        <v>0</v>
      </c>
      <c r="G35" s="257" t="e">
        <f t="shared" si="5"/>
        <v>#VALUE!</v>
      </c>
      <c r="H35" s="239" t="str">
        <f t="shared" si="4"/>
        <v>14.03.2026</v>
      </c>
      <c r="P35"/>
      <c r="Q35" s="229"/>
    </row>
    <row r="36" spans="1:17" ht="14.95" thickBot="1">
      <c r="A36" s="219" t="s">
        <v>41</v>
      </c>
      <c r="B36" s="253">
        <f t="shared" si="3"/>
        <v>681</v>
      </c>
      <c r="C36" s="254">
        <f t="shared" si="3"/>
        <v>618</v>
      </c>
      <c r="D36" s="254">
        <f t="shared" si="3"/>
        <v>1024</v>
      </c>
      <c r="E36" s="254">
        <f t="shared" si="3"/>
        <v>-35523</v>
      </c>
      <c r="F36" s="254">
        <f t="shared" si="3"/>
        <v>0</v>
      </c>
      <c r="G36" s="257">
        <f t="shared" si="5"/>
        <v>-33200</v>
      </c>
      <c r="H36" s="239" t="str">
        <f t="shared" si="4"/>
        <v>29.03.2026</v>
      </c>
      <c r="P36"/>
      <c r="Q36" s="229"/>
    </row>
    <row r="37" spans="1:17" ht="14.95" thickBot="1">
      <c r="A37" s="220" t="s">
        <v>47</v>
      </c>
      <c r="B37" s="253">
        <f t="shared" si="3"/>
        <v>822</v>
      </c>
      <c r="C37" s="254">
        <f t="shared" si="3"/>
        <v>778</v>
      </c>
      <c r="D37" s="254">
        <f t="shared" si="3"/>
        <v>381</v>
      </c>
      <c r="E37" s="254">
        <f t="shared" si="3"/>
        <v>-32832</v>
      </c>
      <c r="F37" s="254">
        <f t="shared" si="3"/>
        <v>0</v>
      </c>
      <c r="G37" s="257">
        <f t="shared" si="5"/>
        <v>-30851</v>
      </c>
      <c r="H37" s="239" t="str">
        <f t="shared" si="4"/>
        <v>07.04.2026</v>
      </c>
      <c r="P37"/>
      <c r="Q37" s="229"/>
    </row>
    <row r="38" spans="1:17" ht="14.95" thickBot="1">
      <c r="A38" s="221" t="s">
        <v>168</v>
      </c>
      <c r="B38" s="253">
        <f t="shared" si="3"/>
        <v>862</v>
      </c>
      <c r="C38" s="254">
        <f t="shared" si="3"/>
        <v>601</v>
      </c>
      <c r="D38" s="254">
        <f t="shared" si="3"/>
        <v>1127</v>
      </c>
      <c r="E38" s="254">
        <f t="shared" si="3"/>
        <v>-129551</v>
      </c>
      <c r="F38" s="254">
        <f t="shared" si="3"/>
        <v>0</v>
      </c>
      <c r="G38" s="257">
        <f t="shared" si="5"/>
        <v>-126961</v>
      </c>
      <c r="H38" s="239" t="str">
        <f t="shared" si="4"/>
        <v>09.04.2026</v>
      </c>
      <c r="P38"/>
      <c r="Q38" s="229"/>
    </row>
  </sheetData>
  <autoFilter ref="A2:R2">
    <sortState ref="A3:R12">
      <sortCondition ref="C2"/>
    </sortState>
  </autoFilter>
  <mergeCells count="1">
    <mergeCell ref="A27:E27"/>
  </mergeCells>
  <conditionalFormatting sqref="B29:B38 C30:E30 F30:G38 E31:E38">
    <cfRule type="cellIs" dxfId="95" priority="16" operator="between">
      <formula>1</formula>
      <formula>299</formula>
    </cfRule>
  </conditionalFormatting>
  <conditionalFormatting sqref="B29:G38">
    <cfRule type="cellIs" priority="17" operator="equal">
      <formula>0</formula>
    </cfRule>
  </conditionalFormatting>
  <conditionalFormatting sqref="C30:E30 F30:G38 E31:E38 B29:B38">
    <cfRule type="cellIs" dxfId="94" priority="14" operator="greaterThan">
      <formula>500</formula>
    </cfRule>
    <cfRule type="cellIs" dxfId="93" priority="15" operator="between">
      <formula>300</formula>
      <formula>500</formula>
    </cfRule>
  </conditionalFormatting>
  <conditionalFormatting sqref="C29:G38">
    <cfRule type="cellIs" dxfId="92" priority="11" operator="between">
      <formula>1</formula>
      <formula>600</formula>
    </cfRule>
    <cfRule type="cellIs" dxfId="91" priority="12" operator="between">
      <formula>600</formula>
      <formula>1000</formula>
    </cfRule>
    <cfRule type="cellIs" dxfId="90" priority="13" operator="greaterThan">
      <formula>1000</formula>
    </cfRule>
  </conditionalFormatting>
  <conditionalFormatting sqref="D29:G38">
    <cfRule type="cellIs" dxfId="89" priority="8" operator="greaterThan">
      <formula>1501</formula>
    </cfRule>
    <cfRule type="cellIs" dxfId="88" priority="9" operator="between">
      <formula>1</formula>
      <formula>900</formula>
    </cfRule>
    <cfRule type="cellIs" dxfId="87" priority="10" operator="between">
      <formula>900</formula>
      <formula>1500</formula>
    </cfRule>
  </conditionalFormatting>
  <conditionalFormatting sqref="E30:F38">
    <cfRule type="cellIs" dxfId="86" priority="7" operator="greaterThan">
      <formula>2000</formula>
    </cfRule>
  </conditionalFormatting>
  <conditionalFormatting sqref="G29:G38 E30:F38">
    <cfRule type="cellIs" dxfId="85" priority="5" operator="between">
      <formula>1201</formula>
      <formula>2000</formula>
    </cfRule>
    <cfRule type="cellIs" dxfId="84" priority="6" operator="between">
      <formula>1</formula>
      <formula>1200</formula>
    </cfRule>
  </conditionalFormatting>
  <conditionalFormatting sqref="G29:G38">
    <cfRule type="cellIs" dxfId="83" priority="1" operator="between">
      <formula>1500</formula>
      <formula>2000</formula>
    </cfRule>
    <cfRule type="cellIs" dxfId="82" priority="2" operator="between">
      <formula>1200</formula>
      <formula>2000</formula>
    </cfRule>
    <cfRule type="cellIs" dxfId="81" priority="3" operator="greaterThan">
      <formula>2000</formula>
    </cfRule>
  </conditionalFormatting>
  <conditionalFormatting sqref="H29:H38">
    <cfRule type="cellIs" dxfId="80" priority="4" operator="lessThan">
      <formula>$H$28</formula>
    </cfRule>
  </conditionalFormatting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view="pageBreakPreview" zoomScaleNormal="90" zoomScaleSheetLayoutView="100" workbookViewId="0">
      <selection activeCell="C9" sqref="C9"/>
    </sheetView>
  </sheetViews>
  <sheetFormatPr defaultColWidth="9.125" defaultRowHeight="14.3"/>
  <cols>
    <col min="1" max="1" width="16.125" customWidth="1"/>
    <col min="2" max="5" width="15.625" customWidth="1"/>
    <col min="6" max="6" width="11.125" customWidth="1"/>
    <col min="7" max="7" width="12.875" customWidth="1"/>
    <col min="8" max="8" width="19.5" bestFit="1" customWidth="1"/>
    <col min="9" max="9" width="13.625" bestFit="1" customWidth="1"/>
    <col min="10" max="10" width="11.125" bestFit="1" customWidth="1"/>
    <col min="11" max="11" width="11.875" customWidth="1"/>
    <col min="12" max="13" width="11.125" customWidth="1"/>
    <col min="14" max="14" width="11.625" customWidth="1"/>
    <col min="15" max="15" width="10.875" customWidth="1"/>
    <col min="16" max="16" width="19.875" style="229" bestFit="1" customWidth="1"/>
    <col min="17" max="17" width="26.875" bestFit="1" customWidth="1"/>
    <col min="18" max="18" width="18.375" bestFit="1" customWidth="1"/>
  </cols>
  <sheetData>
    <row r="1" spans="1:18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228"/>
      <c r="Q1" s="171"/>
      <c r="R1" s="172"/>
    </row>
    <row r="2" spans="1:18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232</v>
      </c>
      <c r="J2" s="193" t="s">
        <v>233</v>
      </c>
      <c r="K2" s="216" t="s">
        <v>234</v>
      </c>
      <c r="L2" s="216" t="s">
        <v>235</v>
      </c>
      <c r="M2" s="216" t="s">
        <v>236</v>
      </c>
      <c r="N2" s="216" t="s">
        <v>237</v>
      </c>
      <c r="O2" s="216" t="s">
        <v>254</v>
      </c>
      <c r="P2" s="236" t="s">
        <v>238</v>
      </c>
      <c r="Q2" s="261" t="s">
        <v>239</v>
      </c>
      <c r="R2" s="216" t="s">
        <v>240</v>
      </c>
    </row>
    <row r="3" spans="1:18">
      <c r="A3" s="198" t="s">
        <v>96</v>
      </c>
      <c r="B3" s="198" t="s">
        <v>279</v>
      </c>
      <c r="C3" s="238" t="s">
        <v>98</v>
      </c>
      <c r="D3" s="198" t="s">
        <v>99</v>
      </c>
      <c r="E3" s="198" t="s">
        <v>34</v>
      </c>
      <c r="F3" s="198" t="s">
        <v>256</v>
      </c>
      <c r="G3" s="198" t="s">
        <v>20</v>
      </c>
      <c r="H3" s="199" t="s">
        <v>306</v>
      </c>
      <c r="I3" s="244">
        <v>46114</v>
      </c>
      <c r="J3" s="207">
        <v>38911</v>
      </c>
      <c r="K3" s="237" t="s">
        <v>321</v>
      </c>
      <c r="L3" s="237">
        <v>39666</v>
      </c>
      <c r="M3" s="282" t="s">
        <v>58</v>
      </c>
      <c r="N3" s="207">
        <v>39910</v>
      </c>
      <c r="O3" s="207"/>
      <c r="P3" s="242" t="s">
        <v>300</v>
      </c>
      <c r="Q3" s="260" t="s">
        <v>259</v>
      </c>
      <c r="R3" s="229" t="s">
        <v>319</v>
      </c>
    </row>
    <row r="4" spans="1:18" s="19" customFormat="1">
      <c r="A4" s="235" t="s">
        <v>14</v>
      </c>
      <c r="B4" s="235" t="s">
        <v>126</v>
      </c>
      <c r="C4" s="238" t="s">
        <v>32</v>
      </c>
      <c r="D4" s="235" t="s">
        <v>24</v>
      </c>
      <c r="E4" s="235" t="s">
        <v>34</v>
      </c>
      <c r="F4" s="267" t="s">
        <v>139</v>
      </c>
      <c r="G4" s="238" t="s">
        <v>20</v>
      </c>
      <c r="H4" s="245" t="s">
        <v>327</v>
      </c>
      <c r="I4" s="244">
        <v>46114</v>
      </c>
      <c r="J4" s="234">
        <v>41769</v>
      </c>
      <c r="K4" s="237">
        <v>41898</v>
      </c>
      <c r="L4" s="237">
        <v>42262</v>
      </c>
      <c r="M4" s="207">
        <v>42451</v>
      </c>
      <c r="N4" s="234">
        <v>43036</v>
      </c>
      <c r="O4" s="234"/>
      <c r="P4" s="242" t="s">
        <v>309</v>
      </c>
      <c r="Q4" s="260" t="s">
        <v>259</v>
      </c>
      <c r="R4" s="241" t="s">
        <v>319</v>
      </c>
    </row>
    <row r="5" spans="1:18" s="19" customFormat="1">
      <c r="A5" s="235" t="s">
        <v>14</v>
      </c>
      <c r="B5" s="235" t="s">
        <v>92</v>
      </c>
      <c r="C5" s="235" t="s">
        <v>49</v>
      </c>
      <c r="D5" s="235" t="s">
        <v>24</v>
      </c>
      <c r="E5" s="235" t="s">
        <v>34</v>
      </c>
      <c r="F5" s="267" t="s">
        <v>93</v>
      </c>
      <c r="G5" s="235" t="s">
        <v>20</v>
      </c>
      <c r="H5" s="245" t="s">
        <v>289</v>
      </c>
      <c r="I5" s="244">
        <v>46114</v>
      </c>
      <c r="J5" s="234">
        <v>34611</v>
      </c>
      <c r="K5" s="237">
        <v>35694</v>
      </c>
      <c r="L5" s="237">
        <v>36435</v>
      </c>
      <c r="M5" s="207">
        <v>36776</v>
      </c>
      <c r="N5" s="234">
        <v>37210</v>
      </c>
      <c r="O5" s="234"/>
      <c r="P5" s="269" t="s">
        <v>328</v>
      </c>
      <c r="Q5" s="260" t="s">
        <v>259</v>
      </c>
      <c r="R5" s="269" t="s">
        <v>312</v>
      </c>
    </row>
    <row r="6" spans="1:18" s="19" customFormat="1">
      <c r="A6" s="238" t="s">
        <v>14</v>
      </c>
      <c r="B6" s="238" t="s">
        <v>15</v>
      </c>
      <c r="C6" s="238" t="s">
        <v>16</v>
      </c>
      <c r="D6" s="238" t="s">
        <v>165</v>
      </c>
      <c r="E6" s="238" t="s">
        <v>165</v>
      </c>
      <c r="F6" s="271" t="s">
        <v>283</v>
      </c>
      <c r="G6" s="238" t="s">
        <v>20</v>
      </c>
      <c r="H6" s="266" t="s">
        <v>316</v>
      </c>
      <c r="I6" s="244">
        <v>46114</v>
      </c>
      <c r="J6" s="234">
        <v>55211</v>
      </c>
      <c r="K6" s="237">
        <v>56394</v>
      </c>
      <c r="L6" s="237">
        <v>57319</v>
      </c>
      <c r="M6" s="207">
        <v>57931</v>
      </c>
      <c r="N6" s="234">
        <v>58768</v>
      </c>
      <c r="O6" s="234"/>
      <c r="P6" s="269" t="s">
        <v>320</v>
      </c>
      <c r="Q6" s="260" t="s">
        <v>259</v>
      </c>
      <c r="R6" s="269" t="s">
        <v>329</v>
      </c>
    </row>
    <row r="7" spans="1:18" s="19" customFormat="1">
      <c r="A7" s="235" t="s">
        <v>14</v>
      </c>
      <c r="B7" s="235" t="s">
        <v>126</v>
      </c>
      <c r="C7" s="238" t="s">
        <v>23</v>
      </c>
      <c r="D7" s="235" t="s">
        <v>24</v>
      </c>
      <c r="E7" s="235" t="s">
        <v>34</v>
      </c>
      <c r="F7" s="267" t="s">
        <v>176</v>
      </c>
      <c r="G7" s="238" t="s">
        <v>20</v>
      </c>
      <c r="H7" s="245" t="s">
        <v>317</v>
      </c>
      <c r="I7" s="244">
        <v>46114</v>
      </c>
      <c r="J7" s="234">
        <v>34580</v>
      </c>
      <c r="K7" s="237">
        <v>35263</v>
      </c>
      <c r="L7" s="237">
        <v>35663</v>
      </c>
      <c r="M7" s="207">
        <v>36101</v>
      </c>
      <c r="N7" s="234">
        <v>37510</v>
      </c>
      <c r="O7" s="234"/>
      <c r="P7" s="269" t="s">
        <v>330</v>
      </c>
      <c r="Q7" s="260" t="s">
        <v>259</v>
      </c>
      <c r="R7" s="241" t="s">
        <v>329</v>
      </c>
    </row>
    <row r="8" spans="1:18" s="19" customFormat="1">
      <c r="A8" s="235" t="s">
        <v>14</v>
      </c>
      <c r="B8" s="235" t="s">
        <v>27</v>
      </c>
      <c r="C8" s="235" t="s">
        <v>28</v>
      </c>
      <c r="D8" s="235" t="s">
        <v>24</v>
      </c>
      <c r="E8" s="235" t="s">
        <v>165</v>
      </c>
      <c r="F8" s="267" t="s">
        <v>29</v>
      </c>
      <c r="G8" s="238" t="s">
        <v>20</v>
      </c>
      <c r="H8" s="245" t="s">
        <v>326</v>
      </c>
      <c r="I8" s="244">
        <v>46114</v>
      </c>
      <c r="J8" s="234">
        <v>124734</v>
      </c>
      <c r="K8" s="281" t="s">
        <v>58</v>
      </c>
      <c r="L8" s="237">
        <v>125997</v>
      </c>
      <c r="M8" s="207">
        <v>126498</v>
      </c>
      <c r="N8" s="234" t="s">
        <v>58</v>
      </c>
      <c r="O8" s="234"/>
      <c r="P8" s="241" t="s">
        <v>323</v>
      </c>
      <c r="Q8" s="260" t="s">
        <v>259</v>
      </c>
      <c r="R8" s="241" t="s">
        <v>268</v>
      </c>
    </row>
    <row r="9" spans="1:18" s="19" customFormat="1">
      <c r="A9" s="238" t="s">
        <v>14</v>
      </c>
      <c r="B9" s="238" t="s">
        <v>281</v>
      </c>
      <c r="C9" s="238" t="s">
        <v>52</v>
      </c>
      <c r="D9" s="238" t="s">
        <v>99</v>
      </c>
      <c r="E9" s="235" t="s">
        <v>34</v>
      </c>
      <c r="F9" s="271" t="s">
        <v>322</v>
      </c>
      <c r="G9" s="238" t="s">
        <v>20</v>
      </c>
      <c r="H9" s="248" t="s">
        <v>333</v>
      </c>
      <c r="I9" s="244">
        <v>46114</v>
      </c>
      <c r="J9" s="234">
        <v>73</v>
      </c>
      <c r="K9" s="281" t="s">
        <v>290</v>
      </c>
      <c r="L9" s="237">
        <v>251</v>
      </c>
      <c r="M9" s="207">
        <v>660</v>
      </c>
      <c r="N9" s="234">
        <v>710</v>
      </c>
      <c r="O9" s="234"/>
      <c r="P9" s="274" t="s">
        <v>282</v>
      </c>
      <c r="Q9" s="260" t="s">
        <v>259</v>
      </c>
      <c r="R9" s="274" t="s">
        <v>301</v>
      </c>
    </row>
    <row r="10" spans="1:18" s="19" customFormat="1">
      <c r="A10" s="235" t="s">
        <v>14</v>
      </c>
      <c r="B10" s="235" t="s">
        <v>126</v>
      </c>
      <c r="C10" s="238" t="s">
        <v>41</v>
      </c>
      <c r="D10" s="235" t="s">
        <v>24</v>
      </c>
      <c r="E10" s="235" t="s">
        <v>34</v>
      </c>
      <c r="F10" s="267" t="s">
        <v>166</v>
      </c>
      <c r="G10" s="235" t="s">
        <v>20</v>
      </c>
      <c r="H10" s="245" t="s">
        <v>91</v>
      </c>
      <c r="I10" s="244">
        <v>46114</v>
      </c>
      <c r="J10" s="234">
        <v>36130</v>
      </c>
      <c r="K10" s="237">
        <v>36563</v>
      </c>
      <c r="L10" s="237">
        <v>37069</v>
      </c>
      <c r="M10" s="207">
        <v>37489</v>
      </c>
      <c r="N10" s="234">
        <v>37957</v>
      </c>
      <c r="O10" s="234"/>
      <c r="P10" s="269" t="s">
        <v>325</v>
      </c>
      <c r="Q10" s="260" t="s">
        <v>259</v>
      </c>
      <c r="R10" s="269" t="s">
        <v>312</v>
      </c>
    </row>
    <row r="11" spans="1:18" s="19" customFormat="1">
      <c r="A11" s="275" t="s">
        <v>14</v>
      </c>
      <c r="B11" s="235" t="s">
        <v>126</v>
      </c>
      <c r="C11" s="275" t="s">
        <v>47</v>
      </c>
      <c r="D11" s="275" t="s">
        <v>24</v>
      </c>
      <c r="E11" s="235" t="s">
        <v>34</v>
      </c>
      <c r="F11" s="276" t="s">
        <v>180</v>
      </c>
      <c r="G11" s="275" t="s">
        <v>20</v>
      </c>
      <c r="H11" s="246" t="s">
        <v>327</v>
      </c>
      <c r="I11" s="244">
        <v>46114</v>
      </c>
      <c r="J11" s="234">
        <v>33247</v>
      </c>
      <c r="K11" s="237">
        <v>34095</v>
      </c>
      <c r="L11" s="237">
        <v>34751</v>
      </c>
      <c r="M11" s="207">
        <v>35454</v>
      </c>
      <c r="N11" s="234">
        <v>36288</v>
      </c>
      <c r="O11" s="234"/>
      <c r="P11" s="269" t="s">
        <v>331</v>
      </c>
      <c r="Q11" s="260" t="s">
        <v>259</v>
      </c>
      <c r="R11" s="241" t="s">
        <v>332</v>
      </c>
    </row>
    <row r="12" spans="1:18" s="19" customFormat="1">
      <c r="A12" s="247" t="s">
        <v>14</v>
      </c>
      <c r="B12" s="278" t="s">
        <v>27</v>
      </c>
      <c r="C12" s="278" t="s">
        <v>270</v>
      </c>
      <c r="D12" s="247" t="s">
        <v>165</v>
      </c>
      <c r="E12" s="247" t="s">
        <v>165</v>
      </c>
      <c r="F12" s="279" t="s">
        <v>169</v>
      </c>
      <c r="G12" s="247" t="s">
        <v>20</v>
      </c>
      <c r="H12" s="247" t="s">
        <v>298</v>
      </c>
      <c r="I12" s="244">
        <v>46114</v>
      </c>
      <c r="J12" s="234">
        <v>130221</v>
      </c>
      <c r="K12" s="237">
        <v>131099</v>
      </c>
      <c r="L12" s="237">
        <v>131822</v>
      </c>
      <c r="M12" s="207">
        <v>128000</v>
      </c>
      <c r="N12" s="234">
        <v>133670</v>
      </c>
      <c r="O12" s="234"/>
      <c r="P12" s="241" t="s">
        <v>324</v>
      </c>
      <c r="Q12" s="260" t="s">
        <v>259</v>
      </c>
      <c r="R12" s="241" t="s">
        <v>315</v>
      </c>
    </row>
    <row r="14" spans="1:18">
      <c r="A14" s="169" t="s">
        <v>1</v>
      </c>
      <c r="B14" s="170"/>
      <c r="C14" s="170"/>
      <c r="D14" s="170"/>
      <c r="E14" s="170"/>
      <c r="F14" s="255"/>
      <c r="G14" s="170"/>
      <c r="H14" s="170"/>
      <c r="I14" s="170"/>
      <c r="J14" s="170"/>
      <c r="K14" s="170"/>
      <c r="L14" s="170"/>
      <c r="M14" s="170"/>
      <c r="N14" s="170"/>
      <c r="O14" s="170"/>
      <c r="P14" s="228"/>
      <c r="Q14" s="171"/>
      <c r="R14" s="172"/>
    </row>
    <row r="15" spans="1:18" hidden="1">
      <c r="A15" s="193" t="s">
        <v>2</v>
      </c>
      <c r="B15" s="193" t="s">
        <v>3</v>
      </c>
      <c r="C15" s="193" t="s">
        <v>4</v>
      </c>
      <c r="D15" s="193" t="s">
        <v>5</v>
      </c>
      <c r="E15" s="193" t="s">
        <v>6</v>
      </c>
      <c r="F15" s="193" t="s">
        <v>7</v>
      </c>
      <c r="G15" s="193" t="s">
        <v>8</v>
      </c>
      <c r="H15" s="193" t="s">
        <v>9</v>
      </c>
      <c r="I15" s="193" t="s">
        <v>10</v>
      </c>
      <c r="J15" s="193" t="s">
        <v>247</v>
      </c>
      <c r="K15" s="216" t="s">
        <v>234</v>
      </c>
      <c r="L15" s="216" t="s">
        <v>235</v>
      </c>
      <c r="M15" s="216" t="s">
        <v>236</v>
      </c>
      <c r="N15" s="216" t="s">
        <v>237</v>
      </c>
      <c r="O15" s="216"/>
      <c r="P15" s="230" t="s">
        <v>238</v>
      </c>
      <c r="Q15" s="231" t="s">
        <v>248</v>
      </c>
      <c r="R15" s="232" t="s">
        <v>240</v>
      </c>
    </row>
    <row r="16" spans="1:18" hidden="1">
      <c r="A16" s="198" t="s">
        <v>96</v>
      </c>
      <c r="B16" s="198" t="s">
        <v>97</v>
      </c>
      <c r="C16" s="198" t="s">
        <v>98</v>
      </c>
      <c r="D16" s="198" t="s">
        <v>99</v>
      </c>
      <c r="E16" s="198" t="s">
        <v>18</v>
      </c>
      <c r="F16" s="198" t="s">
        <v>100</v>
      </c>
      <c r="G16" s="198" t="s">
        <v>20</v>
      </c>
      <c r="H16" s="200" t="s">
        <v>101</v>
      </c>
      <c r="I16" s="161">
        <v>45912</v>
      </c>
      <c r="J16" s="201" t="e">
        <f>SUM(K16:N16)</f>
        <v>#VALUE!</v>
      </c>
      <c r="K16" s="207" t="e">
        <f>K3-$J3</f>
        <v>#VALUE!</v>
      </c>
      <c r="L16" s="207">
        <f t="shared" ref="L16:N25" si="0">L3-$J3</f>
        <v>755</v>
      </c>
      <c r="M16" s="207" t="e">
        <f t="shared" si="0"/>
        <v>#VALUE!</v>
      </c>
      <c r="N16" s="207">
        <f t="shared" si="0"/>
        <v>999</v>
      </c>
      <c r="O16" s="207"/>
      <c r="P16" s="141">
        <v>45891</v>
      </c>
      <c r="Q16" s="218"/>
      <c r="R16" s="98"/>
    </row>
    <row r="17" spans="1:18" hidden="1">
      <c r="A17" s="198" t="s">
        <v>14</v>
      </c>
      <c r="B17" s="198" t="s">
        <v>126</v>
      </c>
      <c r="C17" s="198" t="s">
        <v>32</v>
      </c>
      <c r="D17" s="198" t="s">
        <v>24</v>
      </c>
      <c r="E17" s="198" t="s">
        <v>18</v>
      </c>
      <c r="F17" s="198" t="s">
        <v>139</v>
      </c>
      <c r="G17" s="197" t="s">
        <v>20</v>
      </c>
      <c r="H17" s="199" t="s">
        <v>66</v>
      </c>
      <c r="I17" s="161">
        <v>45912</v>
      </c>
      <c r="J17" s="201">
        <f t="shared" ref="J17:J25" si="1">SUM(K17:N17)</f>
        <v>2571</v>
      </c>
      <c r="K17" s="207">
        <f t="shared" ref="K17:K25" si="2">K4-$J4</f>
        <v>129</v>
      </c>
      <c r="L17" s="207">
        <f t="shared" si="0"/>
        <v>493</v>
      </c>
      <c r="M17" s="207">
        <f t="shared" si="0"/>
        <v>682</v>
      </c>
      <c r="N17" s="207">
        <f t="shared" si="0"/>
        <v>1267</v>
      </c>
      <c r="O17" s="207"/>
      <c r="P17" s="141">
        <v>45896</v>
      </c>
      <c r="Q17" s="218" t="s">
        <v>120</v>
      </c>
      <c r="R17" s="99">
        <v>45921</v>
      </c>
    </row>
    <row r="18" spans="1:18" hidden="1">
      <c r="A18" s="198" t="s">
        <v>14</v>
      </c>
      <c r="B18" s="198" t="s">
        <v>92</v>
      </c>
      <c r="C18" s="198" t="s">
        <v>49</v>
      </c>
      <c r="D18" s="198" t="s">
        <v>24</v>
      </c>
      <c r="E18" s="198" t="s">
        <v>18</v>
      </c>
      <c r="F18" s="198" t="s">
        <v>93</v>
      </c>
      <c r="G18" s="198" t="s">
        <v>20</v>
      </c>
      <c r="H18" s="200" t="s">
        <v>94</v>
      </c>
      <c r="I18" s="161">
        <v>45912</v>
      </c>
      <c r="J18" s="201">
        <f t="shared" si="1"/>
        <v>7671</v>
      </c>
      <c r="K18" s="207">
        <f t="shared" si="2"/>
        <v>1083</v>
      </c>
      <c r="L18" s="207">
        <f t="shared" si="0"/>
        <v>1824</v>
      </c>
      <c r="M18" s="207">
        <f t="shared" si="0"/>
        <v>2165</v>
      </c>
      <c r="N18" s="207">
        <f t="shared" si="0"/>
        <v>2599</v>
      </c>
      <c r="O18" s="207"/>
      <c r="P18" s="141">
        <v>45908</v>
      </c>
      <c r="Q18" s="182" t="s">
        <v>194</v>
      </c>
      <c r="R18" s="99">
        <v>45919</v>
      </c>
    </row>
    <row r="19" spans="1:18" hidden="1">
      <c r="A19" s="197" t="s">
        <v>14</v>
      </c>
      <c r="B19" s="197" t="s">
        <v>15</v>
      </c>
      <c r="C19" s="198" t="s">
        <v>16</v>
      </c>
      <c r="D19" s="197" t="s">
        <v>17</v>
      </c>
      <c r="E19" s="197" t="s">
        <v>18</v>
      </c>
      <c r="F19" s="197" t="s">
        <v>19</v>
      </c>
      <c r="G19" s="197" t="s">
        <v>20</v>
      </c>
      <c r="H19" s="199" t="s">
        <v>21</v>
      </c>
      <c r="I19" s="161">
        <v>45912</v>
      </c>
      <c r="J19" s="201">
        <f t="shared" si="1"/>
        <v>9568</v>
      </c>
      <c r="K19" s="207">
        <f t="shared" si="2"/>
        <v>1183</v>
      </c>
      <c r="L19" s="207">
        <f t="shared" si="0"/>
        <v>2108</v>
      </c>
      <c r="M19" s="207">
        <f t="shared" si="0"/>
        <v>2720</v>
      </c>
      <c r="N19" s="207">
        <f t="shared" si="0"/>
        <v>3557</v>
      </c>
      <c r="O19" s="207"/>
      <c r="P19" s="141">
        <v>45916</v>
      </c>
      <c r="Q19" s="182" t="s">
        <v>194</v>
      </c>
      <c r="R19" s="99">
        <v>45924</v>
      </c>
    </row>
    <row r="20" spans="1:18" hidden="1">
      <c r="A20" s="198" t="s">
        <v>14</v>
      </c>
      <c r="B20" s="198" t="s">
        <v>126</v>
      </c>
      <c r="C20" s="198" t="s">
        <v>23</v>
      </c>
      <c r="D20" s="198" t="s">
        <v>24</v>
      </c>
      <c r="E20" s="198" t="s">
        <v>18</v>
      </c>
      <c r="F20" s="198" t="s">
        <v>176</v>
      </c>
      <c r="G20" s="197" t="s">
        <v>20</v>
      </c>
      <c r="H20" s="199" t="s">
        <v>66</v>
      </c>
      <c r="I20" s="161">
        <v>45912</v>
      </c>
      <c r="J20" s="201">
        <f t="shared" si="1"/>
        <v>6217</v>
      </c>
      <c r="K20" s="207">
        <f t="shared" si="2"/>
        <v>683</v>
      </c>
      <c r="L20" s="207">
        <f t="shared" si="0"/>
        <v>1083</v>
      </c>
      <c r="M20" s="207">
        <f t="shared" si="0"/>
        <v>1521</v>
      </c>
      <c r="N20" s="207">
        <f t="shared" si="0"/>
        <v>2930</v>
      </c>
      <c r="O20" s="207"/>
      <c r="P20" s="141">
        <v>45901</v>
      </c>
      <c r="Q20" s="182" t="s">
        <v>120</v>
      </c>
      <c r="R20" s="99">
        <v>45920</v>
      </c>
    </row>
    <row r="21" spans="1:18" hidden="1">
      <c r="A21" s="198" t="s">
        <v>14</v>
      </c>
      <c r="B21" s="198" t="s">
        <v>27</v>
      </c>
      <c r="C21" s="198" t="s">
        <v>28</v>
      </c>
      <c r="D21" s="198" t="s">
        <v>17</v>
      </c>
      <c r="E21" s="198" t="s">
        <v>18</v>
      </c>
      <c r="F21" s="198" t="s">
        <v>29</v>
      </c>
      <c r="G21" s="197" t="s">
        <v>20</v>
      </c>
      <c r="H21" s="199" t="s">
        <v>30</v>
      </c>
      <c r="I21" s="161">
        <v>45912</v>
      </c>
      <c r="J21" s="201" t="e">
        <f t="shared" si="1"/>
        <v>#VALUE!</v>
      </c>
      <c r="K21" s="207" t="e">
        <f>K8-$J8</f>
        <v>#VALUE!</v>
      </c>
      <c r="L21" s="207">
        <f t="shared" si="0"/>
        <v>1263</v>
      </c>
      <c r="M21" s="207">
        <f t="shared" si="0"/>
        <v>1764</v>
      </c>
      <c r="N21" s="207" t="e">
        <f t="shared" si="0"/>
        <v>#VALUE!</v>
      </c>
      <c r="O21" s="207"/>
      <c r="P21" s="141">
        <v>45904</v>
      </c>
      <c r="Q21" s="218" t="s">
        <v>120</v>
      </c>
      <c r="R21" s="99">
        <v>45926</v>
      </c>
    </row>
    <row r="22" spans="1:18" hidden="1">
      <c r="A22" s="197" t="s">
        <v>14</v>
      </c>
      <c r="B22" s="197" t="s">
        <v>126</v>
      </c>
      <c r="C22" s="198" t="s">
        <v>52</v>
      </c>
      <c r="D22" s="197" t="s">
        <v>24</v>
      </c>
      <c r="E22" s="197" t="s">
        <v>18</v>
      </c>
      <c r="F22" s="197" t="s">
        <v>167</v>
      </c>
      <c r="G22" s="197" t="s">
        <v>20</v>
      </c>
      <c r="H22" s="199" t="s">
        <v>132</v>
      </c>
      <c r="I22" s="161">
        <v>45912</v>
      </c>
      <c r="J22" s="201" t="e">
        <f t="shared" si="1"/>
        <v>#VALUE!</v>
      </c>
      <c r="K22" s="207" t="e">
        <f>K9-$J9</f>
        <v>#VALUE!</v>
      </c>
      <c r="L22" s="207">
        <f t="shared" si="0"/>
        <v>178</v>
      </c>
      <c r="M22" s="207">
        <f t="shared" si="0"/>
        <v>587</v>
      </c>
      <c r="N22" s="207">
        <f t="shared" si="0"/>
        <v>637</v>
      </c>
      <c r="O22" s="251"/>
      <c r="P22" s="59">
        <v>45905</v>
      </c>
      <c r="Q22" s="184" t="s">
        <v>120</v>
      </c>
      <c r="R22" s="99">
        <v>45924</v>
      </c>
    </row>
    <row r="23" spans="1:18" hidden="1">
      <c r="A23" s="198" t="s">
        <v>14</v>
      </c>
      <c r="B23" s="198" t="s">
        <v>164</v>
      </c>
      <c r="C23" s="198" t="s">
        <v>41</v>
      </c>
      <c r="D23" s="198" t="s">
        <v>165</v>
      </c>
      <c r="E23" s="198" t="s">
        <v>18</v>
      </c>
      <c r="F23" s="198" t="s">
        <v>166</v>
      </c>
      <c r="G23" s="198" t="s">
        <v>20</v>
      </c>
      <c r="H23" s="200" t="s">
        <v>91</v>
      </c>
      <c r="I23" s="161">
        <v>45912</v>
      </c>
      <c r="J23" s="201">
        <f t="shared" si="1"/>
        <v>4558</v>
      </c>
      <c r="K23" s="207">
        <f t="shared" si="2"/>
        <v>433</v>
      </c>
      <c r="L23" s="207">
        <f t="shared" si="0"/>
        <v>939</v>
      </c>
      <c r="M23" s="207">
        <f t="shared" si="0"/>
        <v>1359</v>
      </c>
      <c r="N23" s="207">
        <f t="shared" si="0"/>
        <v>1827</v>
      </c>
      <c r="O23" s="207"/>
      <c r="P23" s="141">
        <v>45918</v>
      </c>
      <c r="Q23" s="184" t="s">
        <v>194</v>
      </c>
      <c r="R23" s="99">
        <v>45923</v>
      </c>
    </row>
    <row r="24" spans="1:18" hidden="1">
      <c r="A24" s="209" t="s">
        <v>14</v>
      </c>
      <c r="B24" s="209" t="s">
        <v>31</v>
      </c>
      <c r="C24" s="209" t="s">
        <v>47</v>
      </c>
      <c r="D24" s="209" t="s">
        <v>24</v>
      </c>
      <c r="E24" s="209" t="s">
        <v>18</v>
      </c>
      <c r="F24" s="209" t="s">
        <v>180</v>
      </c>
      <c r="G24" s="209" t="s">
        <v>20</v>
      </c>
      <c r="H24" s="217" t="s">
        <v>163</v>
      </c>
      <c r="I24" s="161">
        <v>45912</v>
      </c>
      <c r="J24" s="201">
        <f t="shared" si="1"/>
        <v>7600</v>
      </c>
      <c r="K24" s="207">
        <f t="shared" si="2"/>
        <v>848</v>
      </c>
      <c r="L24" s="207">
        <f t="shared" si="0"/>
        <v>1504</v>
      </c>
      <c r="M24" s="207">
        <f t="shared" si="0"/>
        <v>2207</v>
      </c>
      <c r="N24" s="207">
        <f t="shared" si="0"/>
        <v>3041</v>
      </c>
      <c r="O24" s="207"/>
      <c r="P24" s="141">
        <v>45901</v>
      </c>
      <c r="Q24" s="184" t="s">
        <v>120</v>
      </c>
      <c r="R24" s="99">
        <v>45922</v>
      </c>
    </row>
    <row r="25" spans="1:18" hidden="1">
      <c r="A25" s="202" t="s">
        <v>14</v>
      </c>
      <c r="B25" s="204" t="s">
        <v>31</v>
      </c>
      <c r="C25" s="204" t="s">
        <v>168</v>
      </c>
      <c r="D25" s="202" t="s">
        <v>165</v>
      </c>
      <c r="E25" s="202" t="s">
        <v>18</v>
      </c>
      <c r="F25" s="202" t="s">
        <v>169</v>
      </c>
      <c r="G25" s="202" t="s">
        <v>20</v>
      </c>
      <c r="H25" s="202" t="s">
        <v>91</v>
      </c>
      <c r="I25" s="161">
        <v>45912</v>
      </c>
      <c r="J25" s="201">
        <f t="shared" si="1"/>
        <v>3707</v>
      </c>
      <c r="K25" s="207">
        <f t="shared" si="2"/>
        <v>878</v>
      </c>
      <c r="L25" s="207">
        <f t="shared" si="0"/>
        <v>1601</v>
      </c>
      <c r="M25" s="207">
        <f t="shared" si="0"/>
        <v>-2221</v>
      </c>
      <c r="N25" s="207">
        <f t="shared" si="0"/>
        <v>3449</v>
      </c>
      <c r="O25" s="207"/>
      <c r="P25" s="141">
        <v>45905</v>
      </c>
      <c r="Q25" s="184" t="s">
        <v>120</v>
      </c>
      <c r="R25" s="99">
        <v>45922</v>
      </c>
    </row>
    <row r="26" spans="1:18" ht="14.95" thickBot="1"/>
    <row r="27" spans="1:18" ht="28.55">
      <c r="A27" s="319" t="s">
        <v>249</v>
      </c>
      <c r="B27" s="320"/>
      <c r="C27" s="320"/>
      <c r="D27" s="320"/>
      <c r="E27" s="320"/>
      <c r="F27" s="226"/>
      <c r="G27" s="250" t="s">
        <v>238</v>
      </c>
      <c r="H27" s="259" t="s">
        <v>257</v>
      </c>
    </row>
    <row r="28" spans="1:18" ht="14.95" thickBot="1">
      <c r="A28" s="227" t="s">
        <v>250</v>
      </c>
      <c r="B28" s="222" t="s">
        <v>234</v>
      </c>
      <c r="C28" s="222" t="s">
        <v>235</v>
      </c>
      <c r="D28" s="222" t="s">
        <v>236</v>
      </c>
      <c r="E28" s="223" t="s">
        <v>237</v>
      </c>
      <c r="F28" s="223" t="s">
        <v>254</v>
      </c>
      <c r="G28" s="224" t="s">
        <v>251</v>
      </c>
      <c r="H28" s="225"/>
      <c r="P28"/>
      <c r="Q28" s="229"/>
    </row>
    <row r="29" spans="1:18" ht="14.95" thickBot="1">
      <c r="A29" s="252" t="s">
        <v>98</v>
      </c>
      <c r="B29" s="253" t="e">
        <f>K3-J3</f>
        <v>#VALUE!</v>
      </c>
      <c r="C29" s="254" t="e">
        <f>L3-K3</f>
        <v>#VALUE!</v>
      </c>
      <c r="D29" s="254" t="e">
        <f>M3-L3</f>
        <v>#VALUE!</v>
      </c>
      <c r="E29" s="254" t="e">
        <f>N3-M3</f>
        <v>#VALUE!</v>
      </c>
      <c r="F29" s="254">
        <f>O3-N3</f>
        <v>-39910</v>
      </c>
      <c r="G29" s="257" t="e">
        <f>SUM(B29:F29)</f>
        <v>#VALUE!</v>
      </c>
      <c r="H29" s="239" t="str">
        <f>R3</f>
        <v>03.04.2026</v>
      </c>
      <c r="P29"/>
      <c r="Q29" s="229"/>
    </row>
    <row r="30" spans="1:18" ht="14.95" thickBot="1">
      <c r="A30" s="219" t="s">
        <v>32</v>
      </c>
      <c r="B30" s="253">
        <f t="shared" ref="B30:F38" si="3">K4-J4</f>
        <v>129</v>
      </c>
      <c r="C30" s="254">
        <f t="shared" si="3"/>
        <v>364</v>
      </c>
      <c r="D30" s="254">
        <f t="shared" si="3"/>
        <v>189</v>
      </c>
      <c r="E30" s="254">
        <f t="shared" si="3"/>
        <v>585</v>
      </c>
      <c r="F30" s="254">
        <f t="shared" si="3"/>
        <v>-43036</v>
      </c>
      <c r="G30" s="257">
        <f>SUM(B30:F30)</f>
        <v>-41769</v>
      </c>
      <c r="H30" s="239" t="str">
        <f t="shared" ref="H30:H38" si="4">R4</f>
        <v>03.04.2026</v>
      </c>
      <c r="P30"/>
      <c r="Q30" s="229"/>
    </row>
    <row r="31" spans="1:18" ht="14.95" thickBot="1">
      <c r="A31" s="219" t="s">
        <v>49</v>
      </c>
      <c r="B31" s="253">
        <f t="shared" si="3"/>
        <v>1083</v>
      </c>
      <c r="C31" s="254">
        <f t="shared" si="3"/>
        <v>741</v>
      </c>
      <c r="D31" s="254">
        <f t="shared" si="3"/>
        <v>341</v>
      </c>
      <c r="E31" s="254">
        <f t="shared" si="3"/>
        <v>434</v>
      </c>
      <c r="F31" s="254">
        <f t="shared" si="3"/>
        <v>-37210</v>
      </c>
      <c r="G31" s="257">
        <f t="shared" ref="G31:G38" si="5">SUM(B31:F31)</f>
        <v>-34611</v>
      </c>
      <c r="H31" s="239" t="str">
        <f t="shared" si="4"/>
        <v>30.04.2026</v>
      </c>
      <c r="P31"/>
      <c r="Q31" s="229"/>
    </row>
    <row r="32" spans="1:18" ht="14.95" thickBot="1">
      <c r="A32" s="219" t="s">
        <v>16</v>
      </c>
      <c r="B32" s="253">
        <f t="shared" si="3"/>
        <v>1183</v>
      </c>
      <c r="C32" s="254">
        <f t="shared" si="3"/>
        <v>925</v>
      </c>
      <c r="D32" s="254">
        <f t="shared" si="3"/>
        <v>612</v>
      </c>
      <c r="E32" s="254">
        <f t="shared" si="3"/>
        <v>837</v>
      </c>
      <c r="F32" s="254">
        <f t="shared" si="3"/>
        <v>-58768</v>
      </c>
      <c r="G32" s="257">
        <f t="shared" si="5"/>
        <v>-55211</v>
      </c>
      <c r="H32" s="239" t="str">
        <f>R6</f>
        <v>29.04.2026</v>
      </c>
      <c r="P32"/>
      <c r="Q32" s="229"/>
    </row>
    <row r="33" spans="1:17" ht="14.95" thickBot="1">
      <c r="A33" s="219" t="s">
        <v>23</v>
      </c>
      <c r="B33" s="253">
        <f t="shared" si="3"/>
        <v>683</v>
      </c>
      <c r="C33" s="254">
        <f t="shared" si="3"/>
        <v>400</v>
      </c>
      <c r="D33" s="254">
        <f t="shared" si="3"/>
        <v>438</v>
      </c>
      <c r="E33" s="254">
        <f t="shared" si="3"/>
        <v>1409</v>
      </c>
      <c r="F33" s="254">
        <f t="shared" si="3"/>
        <v>-37510</v>
      </c>
      <c r="G33" s="257">
        <f t="shared" si="5"/>
        <v>-34580</v>
      </c>
      <c r="H33" s="239" t="str">
        <f t="shared" si="4"/>
        <v>29.04.2026</v>
      </c>
      <c r="P33"/>
      <c r="Q33" s="229"/>
    </row>
    <row r="34" spans="1:17" ht="14.95" thickBot="1">
      <c r="A34" s="219" t="s">
        <v>28</v>
      </c>
      <c r="B34" s="253" t="e">
        <f>K8-J8</f>
        <v>#VALUE!</v>
      </c>
      <c r="C34" s="254" t="e">
        <f>L8-K8</f>
        <v>#VALUE!</v>
      </c>
      <c r="D34" s="254">
        <f t="shared" si="3"/>
        <v>501</v>
      </c>
      <c r="E34" s="254" t="e">
        <f t="shared" si="3"/>
        <v>#VALUE!</v>
      </c>
      <c r="F34" s="254" t="e">
        <f t="shared" si="3"/>
        <v>#VALUE!</v>
      </c>
      <c r="G34" s="257" t="e">
        <f t="shared" si="5"/>
        <v>#VALUE!</v>
      </c>
      <c r="H34" s="239" t="str">
        <f t="shared" si="4"/>
        <v>30.01.2026</v>
      </c>
      <c r="P34"/>
      <c r="Q34" s="229"/>
    </row>
    <row r="35" spans="1:17" ht="14.95" thickBot="1">
      <c r="A35" s="219" t="s">
        <v>52</v>
      </c>
      <c r="B35" s="253" t="e">
        <f>K9-J9</f>
        <v>#VALUE!</v>
      </c>
      <c r="C35" s="254" t="e">
        <f>L9-K9</f>
        <v>#VALUE!</v>
      </c>
      <c r="D35" s="254">
        <f t="shared" si="3"/>
        <v>409</v>
      </c>
      <c r="E35" s="254">
        <f t="shared" si="3"/>
        <v>50</v>
      </c>
      <c r="F35" s="254">
        <f t="shared" si="3"/>
        <v>-710</v>
      </c>
      <c r="G35" s="257" t="e">
        <f t="shared" si="5"/>
        <v>#VALUE!</v>
      </c>
      <c r="H35" s="239" t="str">
        <f t="shared" si="4"/>
        <v>14.03.2026</v>
      </c>
      <c r="P35"/>
      <c r="Q35" s="229"/>
    </row>
    <row r="36" spans="1:17" ht="14.95" thickBot="1">
      <c r="A36" s="219" t="s">
        <v>41</v>
      </c>
      <c r="B36" s="253">
        <f t="shared" si="3"/>
        <v>433</v>
      </c>
      <c r="C36" s="254">
        <f t="shared" si="3"/>
        <v>506</v>
      </c>
      <c r="D36" s="254">
        <f t="shared" si="3"/>
        <v>420</v>
      </c>
      <c r="E36" s="254">
        <f t="shared" si="3"/>
        <v>468</v>
      </c>
      <c r="F36" s="254">
        <f t="shared" si="3"/>
        <v>-37957</v>
      </c>
      <c r="G36" s="257">
        <f t="shared" si="5"/>
        <v>-36130</v>
      </c>
      <c r="H36" s="239" t="str">
        <f t="shared" si="4"/>
        <v>30.04.2026</v>
      </c>
      <c r="P36"/>
      <c r="Q36" s="229"/>
    </row>
    <row r="37" spans="1:17" ht="14.95" thickBot="1">
      <c r="A37" s="220" t="s">
        <v>47</v>
      </c>
      <c r="B37" s="253">
        <f t="shared" si="3"/>
        <v>848</v>
      </c>
      <c r="C37" s="254">
        <f t="shared" si="3"/>
        <v>656</v>
      </c>
      <c r="D37" s="254">
        <f t="shared" si="3"/>
        <v>703</v>
      </c>
      <c r="E37" s="254">
        <f t="shared" si="3"/>
        <v>834</v>
      </c>
      <c r="F37" s="254">
        <f t="shared" si="3"/>
        <v>-36288</v>
      </c>
      <c r="G37" s="257">
        <f t="shared" si="5"/>
        <v>-33247</v>
      </c>
      <c r="H37" s="239" t="str">
        <f t="shared" si="4"/>
        <v>28.04.2026</v>
      </c>
      <c r="P37"/>
      <c r="Q37" s="229"/>
    </row>
    <row r="38" spans="1:17" ht="14.95" thickBot="1">
      <c r="A38" s="221" t="s">
        <v>168</v>
      </c>
      <c r="B38" s="253">
        <f t="shared" si="3"/>
        <v>878</v>
      </c>
      <c r="C38" s="254">
        <f t="shared" si="3"/>
        <v>723</v>
      </c>
      <c r="D38" s="254">
        <f t="shared" si="3"/>
        <v>-3822</v>
      </c>
      <c r="E38" s="254">
        <f t="shared" si="3"/>
        <v>5670</v>
      </c>
      <c r="F38" s="254">
        <f t="shared" si="3"/>
        <v>-133670</v>
      </c>
      <c r="G38" s="257">
        <f t="shared" si="5"/>
        <v>-130221</v>
      </c>
      <c r="H38" s="239" t="str">
        <f t="shared" si="4"/>
        <v>09.04.2026</v>
      </c>
      <c r="P38"/>
      <c r="Q38" s="229"/>
    </row>
  </sheetData>
  <autoFilter ref="A2:R12">
    <sortState ref="A3:R12">
      <sortCondition ref="C2"/>
    </sortState>
  </autoFilter>
  <mergeCells count="1">
    <mergeCell ref="A27:E27"/>
  </mergeCells>
  <conditionalFormatting sqref="B29:B38 C30:E30 F30:G38 E31:E38">
    <cfRule type="cellIs" dxfId="79" priority="16" operator="between">
      <formula>1</formula>
      <formula>299</formula>
    </cfRule>
  </conditionalFormatting>
  <conditionalFormatting sqref="B29:G38">
    <cfRule type="cellIs" priority="17" operator="equal">
      <formula>0</formula>
    </cfRule>
  </conditionalFormatting>
  <conditionalFormatting sqref="C30:E30 F30:G38 E31:E38 B29:B38">
    <cfRule type="cellIs" dxfId="78" priority="14" operator="greaterThan">
      <formula>500</formula>
    </cfRule>
    <cfRule type="cellIs" dxfId="77" priority="15" operator="between">
      <formula>300</formula>
      <formula>500</formula>
    </cfRule>
  </conditionalFormatting>
  <conditionalFormatting sqref="C29:G38">
    <cfRule type="cellIs" dxfId="76" priority="11" operator="between">
      <formula>1</formula>
      <formula>600</formula>
    </cfRule>
    <cfRule type="cellIs" dxfId="75" priority="12" operator="between">
      <formula>600</formula>
      <formula>1000</formula>
    </cfRule>
    <cfRule type="cellIs" dxfId="74" priority="13" operator="greaterThan">
      <formula>1000</formula>
    </cfRule>
  </conditionalFormatting>
  <conditionalFormatting sqref="D29:G38">
    <cfRule type="cellIs" dxfId="73" priority="8" operator="greaterThan">
      <formula>1501</formula>
    </cfRule>
    <cfRule type="cellIs" dxfId="72" priority="9" operator="between">
      <formula>1</formula>
      <formula>900</formula>
    </cfRule>
    <cfRule type="cellIs" dxfId="71" priority="10" operator="between">
      <formula>900</formula>
      <formula>1500</formula>
    </cfRule>
  </conditionalFormatting>
  <conditionalFormatting sqref="E30:F38">
    <cfRule type="cellIs" dxfId="70" priority="7" operator="greaterThan">
      <formula>2000</formula>
    </cfRule>
  </conditionalFormatting>
  <conditionalFormatting sqref="G29:G38 E30:F38">
    <cfRule type="cellIs" dxfId="69" priority="5" operator="between">
      <formula>1201</formula>
      <formula>2000</formula>
    </cfRule>
    <cfRule type="cellIs" dxfId="68" priority="6" operator="between">
      <formula>1</formula>
      <formula>1200</formula>
    </cfRule>
  </conditionalFormatting>
  <conditionalFormatting sqref="G29:G38">
    <cfRule type="cellIs" dxfId="67" priority="1" operator="between">
      <formula>1500</formula>
      <formula>2000</formula>
    </cfRule>
    <cfRule type="cellIs" dxfId="66" priority="2" operator="between">
      <formula>1200</formula>
      <formula>2000</formula>
    </cfRule>
    <cfRule type="cellIs" dxfId="65" priority="3" operator="greaterThan">
      <formula>2000</formula>
    </cfRule>
  </conditionalFormatting>
  <conditionalFormatting sqref="H29:H38">
    <cfRule type="cellIs" dxfId="64" priority="4" operator="lessThan">
      <formula>$H$28</formula>
    </cfRule>
  </conditionalFormatting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view="pageBreakPreview" zoomScale="101" zoomScaleNormal="90" zoomScaleSheetLayoutView="120" workbookViewId="0">
      <selection activeCell="R3" sqref="R3"/>
    </sheetView>
  </sheetViews>
  <sheetFormatPr defaultColWidth="9.125" defaultRowHeight="14.3"/>
  <cols>
    <col min="1" max="1" width="16.125" customWidth="1"/>
    <col min="2" max="5" width="15.625" customWidth="1"/>
    <col min="6" max="6" width="11.125" customWidth="1"/>
    <col min="7" max="7" width="12.875" customWidth="1"/>
    <col min="8" max="8" width="19.5" bestFit="1" customWidth="1"/>
    <col min="9" max="9" width="13.625" bestFit="1" customWidth="1"/>
    <col min="10" max="10" width="11.125" bestFit="1" customWidth="1"/>
    <col min="11" max="13" width="11.125" customWidth="1"/>
    <col min="14" max="15" width="16.375" customWidth="1"/>
    <col min="16" max="16" width="19.875" style="229" bestFit="1" customWidth="1"/>
    <col min="17" max="17" width="26.875" bestFit="1" customWidth="1"/>
    <col min="18" max="18" width="18.375" bestFit="1" customWidth="1"/>
  </cols>
  <sheetData>
    <row r="1" spans="1:18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228"/>
      <c r="Q1" s="171"/>
      <c r="R1" s="172"/>
    </row>
    <row r="2" spans="1:18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232</v>
      </c>
      <c r="J2" s="193" t="s">
        <v>233</v>
      </c>
      <c r="K2" s="216" t="s">
        <v>234</v>
      </c>
      <c r="L2" s="216" t="s">
        <v>235</v>
      </c>
      <c r="M2" s="216" t="s">
        <v>236</v>
      </c>
      <c r="N2" s="216" t="s">
        <v>237</v>
      </c>
      <c r="O2" s="216" t="s">
        <v>254</v>
      </c>
      <c r="P2" s="236" t="s">
        <v>238</v>
      </c>
      <c r="Q2" s="261" t="s">
        <v>239</v>
      </c>
      <c r="R2" s="216" t="s">
        <v>240</v>
      </c>
    </row>
    <row r="3" spans="1:18">
      <c r="A3" s="198" t="s">
        <v>96</v>
      </c>
      <c r="B3" s="198" t="s">
        <v>334</v>
      </c>
      <c r="C3" s="238" t="s">
        <v>98</v>
      </c>
      <c r="D3" s="198" t="s">
        <v>99</v>
      </c>
      <c r="E3" s="198" t="s">
        <v>34</v>
      </c>
      <c r="F3" t="s">
        <v>335</v>
      </c>
      <c r="G3" s="198" t="s">
        <v>20</v>
      </c>
      <c r="H3" s="199" t="s">
        <v>306</v>
      </c>
      <c r="I3" s="244">
        <v>46087</v>
      </c>
      <c r="J3" s="207" t="s">
        <v>336</v>
      </c>
      <c r="K3" s="207" t="s">
        <v>336</v>
      </c>
      <c r="L3" s="237" t="s">
        <v>336</v>
      </c>
      <c r="M3" s="237" t="s">
        <v>336</v>
      </c>
      <c r="N3" s="207">
        <v>1228</v>
      </c>
      <c r="O3" s="207"/>
      <c r="P3" s="242" t="s">
        <v>340</v>
      </c>
      <c r="Q3" s="260" t="s">
        <v>259</v>
      </c>
      <c r="R3" s="229" t="s">
        <v>353</v>
      </c>
    </row>
    <row r="4" spans="1:18" s="19" customFormat="1">
      <c r="A4" s="235" t="s">
        <v>14</v>
      </c>
      <c r="B4" s="235" t="s">
        <v>126</v>
      </c>
      <c r="C4" s="238" t="s">
        <v>32</v>
      </c>
      <c r="D4" s="235" t="s">
        <v>24</v>
      </c>
      <c r="E4" s="235" t="s">
        <v>34</v>
      </c>
      <c r="F4" s="267" t="s">
        <v>139</v>
      </c>
      <c r="G4" s="238" t="s">
        <v>20</v>
      </c>
      <c r="H4" s="245" t="s">
        <v>304</v>
      </c>
      <c r="I4" s="244">
        <v>46087</v>
      </c>
      <c r="J4" s="234">
        <v>43945</v>
      </c>
      <c r="K4" s="237">
        <v>44681</v>
      </c>
      <c r="L4" s="237">
        <v>45323</v>
      </c>
      <c r="M4" s="207">
        <v>46103</v>
      </c>
      <c r="N4" s="234">
        <v>46747</v>
      </c>
      <c r="O4" s="234"/>
      <c r="P4" s="242" t="s">
        <v>341</v>
      </c>
      <c r="Q4" s="270" t="s">
        <v>259</v>
      </c>
      <c r="R4" s="241" t="s">
        <v>340</v>
      </c>
    </row>
    <row r="5" spans="1:18" s="19" customFormat="1">
      <c r="A5" s="235" t="s">
        <v>14</v>
      </c>
      <c r="B5" s="235" t="s">
        <v>92</v>
      </c>
      <c r="C5" s="235" t="s">
        <v>49</v>
      </c>
      <c r="D5" s="235" t="s">
        <v>24</v>
      </c>
      <c r="E5" s="235" t="s">
        <v>34</v>
      </c>
      <c r="F5" s="267" t="s">
        <v>93</v>
      </c>
      <c r="G5" s="235" t="s">
        <v>20</v>
      </c>
      <c r="H5" s="245" t="s">
        <v>289</v>
      </c>
      <c r="I5" s="244">
        <v>46087</v>
      </c>
      <c r="J5" s="234">
        <v>37864</v>
      </c>
      <c r="K5" s="237">
        <v>38053</v>
      </c>
      <c r="L5" s="237">
        <v>38782</v>
      </c>
      <c r="M5" s="207">
        <v>39676</v>
      </c>
      <c r="N5" s="234">
        <v>39998</v>
      </c>
      <c r="O5" s="234"/>
      <c r="P5" s="269" t="s">
        <v>342</v>
      </c>
      <c r="Q5" s="270" t="s">
        <v>259</v>
      </c>
      <c r="R5" s="269" t="s">
        <v>352</v>
      </c>
    </row>
    <row r="6" spans="1:18" s="19" customFormat="1">
      <c r="A6" s="238" t="s">
        <v>14</v>
      </c>
      <c r="B6" s="238" t="s">
        <v>15</v>
      </c>
      <c r="C6" s="238" t="s">
        <v>16</v>
      </c>
      <c r="D6" s="238" t="s">
        <v>165</v>
      </c>
      <c r="E6" s="238" t="s">
        <v>165</v>
      </c>
      <c r="F6" s="271" t="s">
        <v>283</v>
      </c>
      <c r="G6" s="238" t="s">
        <v>20</v>
      </c>
      <c r="H6" s="266" t="s">
        <v>316</v>
      </c>
      <c r="I6" s="244">
        <v>46087</v>
      </c>
      <c r="J6" s="234">
        <v>59231</v>
      </c>
      <c r="K6" s="237">
        <v>60093</v>
      </c>
      <c r="L6" s="237">
        <v>60897</v>
      </c>
      <c r="M6" s="207">
        <v>61672</v>
      </c>
      <c r="N6" s="234">
        <v>62203</v>
      </c>
      <c r="O6" s="234"/>
      <c r="P6" s="269" t="s">
        <v>340</v>
      </c>
      <c r="Q6" s="270" t="s">
        <v>259</v>
      </c>
      <c r="R6" s="269" t="s">
        <v>347</v>
      </c>
    </row>
    <row r="7" spans="1:18" s="19" customFormat="1">
      <c r="A7" s="235" t="s">
        <v>14</v>
      </c>
      <c r="B7" s="235" t="s">
        <v>126</v>
      </c>
      <c r="C7" s="238" t="s">
        <v>23</v>
      </c>
      <c r="D7" s="235" t="s">
        <v>24</v>
      </c>
      <c r="E7" s="235" t="s">
        <v>34</v>
      </c>
      <c r="F7" s="267" t="s">
        <v>176</v>
      </c>
      <c r="G7" s="238" t="s">
        <v>20</v>
      </c>
      <c r="H7" s="245" t="s">
        <v>66</v>
      </c>
      <c r="I7" s="244">
        <v>46087</v>
      </c>
      <c r="J7" s="234">
        <v>36964</v>
      </c>
      <c r="K7" s="237">
        <v>37461</v>
      </c>
      <c r="L7" s="237">
        <v>37782</v>
      </c>
      <c r="M7" s="284" t="s">
        <v>339</v>
      </c>
      <c r="N7" s="234">
        <v>38224</v>
      </c>
      <c r="O7" s="234"/>
      <c r="P7" s="269" t="s">
        <v>343</v>
      </c>
      <c r="Q7" s="270" t="s">
        <v>259</v>
      </c>
      <c r="R7" s="241" t="s">
        <v>312</v>
      </c>
    </row>
    <row r="8" spans="1:18" s="19" customFormat="1">
      <c r="A8" s="235" t="s">
        <v>14</v>
      </c>
      <c r="B8" s="235" t="s">
        <v>27</v>
      </c>
      <c r="C8" s="235" t="s">
        <v>28</v>
      </c>
      <c r="D8" s="235" t="s">
        <v>24</v>
      </c>
      <c r="E8" s="235" t="s">
        <v>165</v>
      </c>
      <c r="F8" s="267" t="s">
        <v>29</v>
      </c>
      <c r="G8" s="238" t="s">
        <v>20</v>
      </c>
      <c r="H8" s="245" t="s">
        <v>338</v>
      </c>
      <c r="I8" s="244">
        <v>46087</v>
      </c>
      <c r="J8" s="234">
        <v>126963</v>
      </c>
      <c r="K8" s="237">
        <v>127773</v>
      </c>
      <c r="L8" s="237">
        <v>128623</v>
      </c>
      <c r="M8" s="207">
        <v>129541</v>
      </c>
      <c r="N8" s="234">
        <v>130111</v>
      </c>
      <c r="O8" s="234"/>
      <c r="P8" s="241" t="s">
        <v>265</v>
      </c>
      <c r="Q8" s="270" t="s">
        <v>259</v>
      </c>
      <c r="R8" s="241" t="s">
        <v>342</v>
      </c>
    </row>
    <row r="9" spans="1:18" s="19" customFormat="1">
      <c r="A9" s="238" t="s">
        <v>14</v>
      </c>
      <c r="B9" s="238" t="s">
        <v>281</v>
      </c>
      <c r="C9" s="238" t="s">
        <v>52</v>
      </c>
      <c r="D9" s="238" t="s">
        <v>99</v>
      </c>
      <c r="E9" s="235" t="s">
        <v>34</v>
      </c>
      <c r="F9" s="271" t="s">
        <v>280</v>
      </c>
      <c r="G9" s="238" t="s">
        <v>20</v>
      </c>
      <c r="H9" s="248" t="s">
        <v>333</v>
      </c>
      <c r="I9" s="244">
        <v>46087</v>
      </c>
      <c r="J9" s="234">
        <v>1864</v>
      </c>
      <c r="K9" s="237">
        <v>2210</v>
      </c>
      <c r="L9" s="237">
        <v>2720</v>
      </c>
      <c r="M9" s="207">
        <v>3384</v>
      </c>
      <c r="N9" s="234">
        <v>3570</v>
      </c>
      <c r="O9" s="234"/>
      <c r="P9" s="274" t="s">
        <v>344</v>
      </c>
      <c r="Q9" s="270" t="s">
        <v>259</v>
      </c>
      <c r="R9" s="274" t="s">
        <v>348</v>
      </c>
    </row>
    <row r="10" spans="1:18" s="19" customFormat="1">
      <c r="A10" s="235" t="s">
        <v>14</v>
      </c>
      <c r="B10" s="235" t="s">
        <v>126</v>
      </c>
      <c r="C10" s="238" t="s">
        <v>41</v>
      </c>
      <c r="D10" s="235" t="s">
        <v>24</v>
      </c>
      <c r="E10" s="235" t="s">
        <v>34</v>
      </c>
      <c r="F10" s="267" t="s">
        <v>258</v>
      </c>
      <c r="G10" s="235" t="s">
        <v>20</v>
      </c>
      <c r="H10" s="245" t="s">
        <v>91</v>
      </c>
      <c r="I10" s="244">
        <v>46087</v>
      </c>
      <c r="J10" s="234">
        <v>39222</v>
      </c>
      <c r="K10" s="237" t="s">
        <v>337</v>
      </c>
      <c r="L10" s="237">
        <v>41131</v>
      </c>
      <c r="M10" s="207">
        <v>41481</v>
      </c>
      <c r="N10" s="234">
        <v>41695</v>
      </c>
      <c r="O10" s="234"/>
      <c r="P10" s="269" t="s">
        <v>345</v>
      </c>
      <c r="Q10" s="270" t="s">
        <v>259</v>
      </c>
      <c r="R10" s="269" t="s">
        <v>349</v>
      </c>
    </row>
    <row r="11" spans="1:18" s="19" customFormat="1">
      <c r="A11" s="275" t="s">
        <v>14</v>
      </c>
      <c r="B11" s="235" t="s">
        <v>126</v>
      </c>
      <c r="C11" s="275" t="s">
        <v>47</v>
      </c>
      <c r="D11" s="275" t="s">
        <v>24</v>
      </c>
      <c r="E11" s="235" t="s">
        <v>34</v>
      </c>
      <c r="F11" s="276" t="s">
        <v>180</v>
      </c>
      <c r="G11" s="275" t="s">
        <v>20</v>
      </c>
      <c r="H11" s="246" t="s">
        <v>308</v>
      </c>
      <c r="I11" s="244">
        <v>46087</v>
      </c>
      <c r="J11" s="234">
        <v>36628</v>
      </c>
      <c r="K11" s="283" t="s">
        <v>339</v>
      </c>
      <c r="L11" s="237">
        <v>37743</v>
      </c>
      <c r="M11" s="207">
        <v>38150</v>
      </c>
      <c r="N11" s="234">
        <v>38767</v>
      </c>
      <c r="O11" s="234"/>
      <c r="P11" s="269" t="s">
        <v>346</v>
      </c>
      <c r="Q11" s="270" t="s">
        <v>269</v>
      </c>
      <c r="R11" s="241" t="s">
        <v>350</v>
      </c>
    </row>
    <row r="12" spans="1:18" s="19" customFormat="1">
      <c r="A12" s="247" t="s">
        <v>14</v>
      </c>
      <c r="B12" s="278" t="s">
        <v>27</v>
      </c>
      <c r="C12" s="278" t="s">
        <v>270</v>
      </c>
      <c r="D12" s="247" t="s">
        <v>165</v>
      </c>
      <c r="E12" s="247" t="s">
        <v>165</v>
      </c>
      <c r="F12" s="279" t="s">
        <v>169</v>
      </c>
      <c r="G12" s="247" t="s">
        <v>20</v>
      </c>
      <c r="H12" s="247" t="s">
        <v>298</v>
      </c>
      <c r="I12" s="244">
        <v>46087</v>
      </c>
      <c r="J12" s="234">
        <v>134415</v>
      </c>
      <c r="K12" s="237">
        <v>135426</v>
      </c>
      <c r="L12" s="237">
        <v>136383</v>
      </c>
      <c r="M12" s="207">
        <v>137745</v>
      </c>
      <c r="N12" s="283" t="s">
        <v>337</v>
      </c>
      <c r="O12" s="234"/>
      <c r="P12" s="241" t="s">
        <v>297</v>
      </c>
      <c r="Q12" s="270" t="s">
        <v>269</v>
      </c>
      <c r="R12" s="241" t="s">
        <v>351</v>
      </c>
    </row>
    <row r="14" spans="1:18">
      <c r="A14" s="169" t="s">
        <v>1</v>
      </c>
      <c r="B14" s="170"/>
      <c r="C14" s="170"/>
      <c r="D14" s="170"/>
      <c r="E14" s="170"/>
      <c r="F14" s="255"/>
      <c r="G14" s="170"/>
      <c r="H14" s="170"/>
      <c r="I14" s="170"/>
      <c r="J14" s="170"/>
      <c r="K14" s="170"/>
      <c r="L14" s="170"/>
      <c r="M14" s="170"/>
      <c r="N14" s="170"/>
      <c r="O14" s="170"/>
      <c r="P14" s="228"/>
      <c r="Q14" s="171"/>
      <c r="R14" s="172"/>
    </row>
    <row r="15" spans="1:18" hidden="1">
      <c r="A15" s="193" t="s">
        <v>2</v>
      </c>
      <c r="B15" s="193" t="s">
        <v>3</v>
      </c>
      <c r="C15" s="193" t="s">
        <v>4</v>
      </c>
      <c r="D15" s="193" t="s">
        <v>5</v>
      </c>
      <c r="E15" s="193" t="s">
        <v>6</v>
      </c>
      <c r="F15" s="193" t="s">
        <v>7</v>
      </c>
      <c r="G15" s="193" t="s">
        <v>8</v>
      </c>
      <c r="H15" s="193" t="s">
        <v>9</v>
      </c>
      <c r="I15" s="193" t="s">
        <v>10</v>
      </c>
      <c r="J15" s="193" t="s">
        <v>247</v>
      </c>
      <c r="K15" s="216" t="s">
        <v>234</v>
      </c>
      <c r="L15" s="216" t="s">
        <v>235</v>
      </c>
      <c r="M15" s="216" t="s">
        <v>236</v>
      </c>
      <c r="N15" s="216" t="s">
        <v>237</v>
      </c>
      <c r="O15" s="216"/>
      <c r="P15" s="230" t="s">
        <v>238</v>
      </c>
      <c r="Q15" s="231" t="s">
        <v>248</v>
      </c>
      <c r="R15" s="232" t="s">
        <v>240</v>
      </c>
    </row>
    <row r="16" spans="1:18" hidden="1">
      <c r="A16" s="198" t="s">
        <v>96</v>
      </c>
      <c r="B16" s="198" t="s">
        <v>97</v>
      </c>
      <c r="C16" s="198" t="s">
        <v>98</v>
      </c>
      <c r="D16" s="198" t="s">
        <v>99</v>
      </c>
      <c r="E16" s="198" t="s">
        <v>18</v>
      </c>
      <c r="F16" s="198" t="s">
        <v>100</v>
      </c>
      <c r="G16" s="198" t="s">
        <v>20</v>
      </c>
      <c r="H16" s="200" t="s">
        <v>101</v>
      </c>
      <c r="I16" s="161">
        <v>45912</v>
      </c>
      <c r="J16" s="201" t="e">
        <f>SUM(K16:N16)</f>
        <v>#VALUE!</v>
      </c>
      <c r="K16" s="207" t="e">
        <f>K3-$J3</f>
        <v>#VALUE!</v>
      </c>
      <c r="L16" s="207" t="e">
        <f t="shared" ref="L16:N25" si="0">L3-$J3</f>
        <v>#VALUE!</v>
      </c>
      <c r="M16" s="207" t="e">
        <f t="shared" si="0"/>
        <v>#VALUE!</v>
      </c>
      <c r="N16" s="207" t="e">
        <f t="shared" si="0"/>
        <v>#VALUE!</v>
      </c>
      <c r="O16" s="207"/>
      <c r="P16" s="141">
        <v>45891</v>
      </c>
      <c r="Q16" s="218"/>
      <c r="R16" s="98"/>
    </row>
    <row r="17" spans="1:18" hidden="1">
      <c r="A17" s="198" t="s">
        <v>14</v>
      </c>
      <c r="B17" s="198" t="s">
        <v>126</v>
      </c>
      <c r="C17" s="198" t="s">
        <v>32</v>
      </c>
      <c r="D17" s="198" t="s">
        <v>24</v>
      </c>
      <c r="E17" s="198" t="s">
        <v>18</v>
      </c>
      <c r="F17" s="198" t="s">
        <v>139</v>
      </c>
      <c r="G17" s="197" t="s">
        <v>20</v>
      </c>
      <c r="H17" s="199" t="s">
        <v>66</v>
      </c>
      <c r="I17" s="161">
        <v>45912</v>
      </c>
      <c r="J17" s="201">
        <f t="shared" ref="J17:J25" si="1">SUM(K17:N17)</f>
        <v>7074</v>
      </c>
      <c r="K17" s="207">
        <f t="shared" ref="K17:K25" si="2">K4-$J4</f>
        <v>736</v>
      </c>
      <c r="L17" s="207">
        <f t="shared" si="0"/>
        <v>1378</v>
      </c>
      <c r="M17" s="207">
        <f t="shared" si="0"/>
        <v>2158</v>
      </c>
      <c r="N17" s="207">
        <f t="shared" si="0"/>
        <v>2802</v>
      </c>
      <c r="O17" s="207"/>
      <c r="P17" s="141">
        <v>45896</v>
      </c>
      <c r="Q17" s="218" t="s">
        <v>120</v>
      </c>
      <c r="R17" s="99">
        <v>45921</v>
      </c>
    </row>
    <row r="18" spans="1:18" hidden="1">
      <c r="A18" s="198" t="s">
        <v>14</v>
      </c>
      <c r="B18" s="198" t="s">
        <v>92</v>
      </c>
      <c r="C18" s="198" t="s">
        <v>49</v>
      </c>
      <c r="D18" s="198" t="s">
        <v>24</v>
      </c>
      <c r="E18" s="198" t="s">
        <v>18</v>
      </c>
      <c r="F18" s="198" t="s">
        <v>93</v>
      </c>
      <c r="G18" s="198" t="s">
        <v>20</v>
      </c>
      <c r="H18" s="200" t="s">
        <v>94</v>
      </c>
      <c r="I18" s="161">
        <v>45912</v>
      </c>
      <c r="J18" s="201">
        <f t="shared" si="1"/>
        <v>5053</v>
      </c>
      <c r="K18" s="207">
        <f t="shared" si="2"/>
        <v>189</v>
      </c>
      <c r="L18" s="207">
        <f t="shared" si="0"/>
        <v>918</v>
      </c>
      <c r="M18" s="207">
        <f t="shared" si="0"/>
        <v>1812</v>
      </c>
      <c r="N18" s="207">
        <f t="shared" si="0"/>
        <v>2134</v>
      </c>
      <c r="O18" s="207"/>
      <c r="P18" s="141">
        <v>45908</v>
      </c>
      <c r="Q18" s="182" t="s">
        <v>194</v>
      </c>
      <c r="R18" s="99">
        <v>45919</v>
      </c>
    </row>
    <row r="19" spans="1:18" hidden="1">
      <c r="A19" s="197" t="s">
        <v>14</v>
      </c>
      <c r="B19" s="197" t="s">
        <v>15</v>
      </c>
      <c r="C19" s="198" t="s">
        <v>16</v>
      </c>
      <c r="D19" s="197" t="s">
        <v>17</v>
      </c>
      <c r="E19" s="197" t="s">
        <v>18</v>
      </c>
      <c r="F19" s="197" t="s">
        <v>19</v>
      </c>
      <c r="G19" s="197" t="s">
        <v>20</v>
      </c>
      <c r="H19" s="199" t="s">
        <v>21</v>
      </c>
      <c r="I19" s="161">
        <v>45912</v>
      </c>
      <c r="J19" s="201">
        <f t="shared" si="1"/>
        <v>7941</v>
      </c>
      <c r="K19" s="207">
        <f t="shared" si="2"/>
        <v>862</v>
      </c>
      <c r="L19" s="207">
        <f t="shared" si="0"/>
        <v>1666</v>
      </c>
      <c r="M19" s="207">
        <f t="shared" si="0"/>
        <v>2441</v>
      </c>
      <c r="N19" s="207">
        <f t="shared" si="0"/>
        <v>2972</v>
      </c>
      <c r="O19" s="207"/>
      <c r="P19" s="141">
        <v>45916</v>
      </c>
      <c r="Q19" s="182" t="s">
        <v>194</v>
      </c>
      <c r="R19" s="99">
        <v>45924</v>
      </c>
    </row>
    <row r="20" spans="1:18" hidden="1">
      <c r="A20" s="198" t="s">
        <v>14</v>
      </c>
      <c r="B20" s="198" t="s">
        <v>126</v>
      </c>
      <c r="C20" s="198" t="s">
        <v>23</v>
      </c>
      <c r="D20" s="198" t="s">
        <v>24</v>
      </c>
      <c r="E20" s="198" t="s">
        <v>18</v>
      </c>
      <c r="F20" s="198" t="s">
        <v>176</v>
      </c>
      <c r="G20" s="197" t="s">
        <v>20</v>
      </c>
      <c r="H20" s="199" t="s">
        <v>66</v>
      </c>
      <c r="I20" s="161">
        <v>45912</v>
      </c>
      <c r="J20" s="201" t="e">
        <f t="shared" si="1"/>
        <v>#VALUE!</v>
      </c>
      <c r="K20" s="207">
        <f t="shared" si="2"/>
        <v>497</v>
      </c>
      <c r="L20" s="207">
        <f t="shared" si="0"/>
        <v>818</v>
      </c>
      <c r="M20" s="207" t="e">
        <f t="shared" si="0"/>
        <v>#VALUE!</v>
      </c>
      <c r="N20" s="207">
        <f t="shared" si="0"/>
        <v>1260</v>
      </c>
      <c r="O20" s="207"/>
      <c r="P20" s="141">
        <v>45901</v>
      </c>
      <c r="Q20" s="182" t="s">
        <v>120</v>
      </c>
      <c r="R20" s="99">
        <v>45920</v>
      </c>
    </row>
    <row r="21" spans="1:18" hidden="1">
      <c r="A21" s="198" t="s">
        <v>14</v>
      </c>
      <c r="B21" s="198" t="s">
        <v>27</v>
      </c>
      <c r="C21" s="198" t="s">
        <v>28</v>
      </c>
      <c r="D21" s="198" t="s">
        <v>17</v>
      </c>
      <c r="E21" s="198" t="s">
        <v>18</v>
      </c>
      <c r="F21" s="198" t="s">
        <v>29</v>
      </c>
      <c r="G21" s="197" t="s">
        <v>20</v>
      </c>
      <c r="H21" s="199" t="s">
        <v>30</v>
      </c>
      <c r="I21" s="161">
        <v>45912</v>
      </c>
      <c r="J21" s="201">
        <f t="shared" si="1"/>
        <v>8196</v>
      </c>
      <c r="K21" s="207">
        <f>K8-$J8</f>
        <v>810</v>
      </c>
      <c r="L21" s="207">
        <f t="shared" si="0"/>
        <v>1660</v>
      </c>
      <c r="M21" s="207">
        <f t="shared" si="0"/>
        <v>2578</v>
      </c>
      <c r="N21" s="207">
        <f t="shared" si="0"/>
        <v>3148</v>
      </c>
      <c r="O21" s="207"/>
      <c r="P21" s="141">
        <v>45904</v>
      </c>
      <c r="Q21" s="218" t="s">
        <v>120</v>
      </c>
      <c r="R21" s="99">
        <v>45926</v>
      </c>
    </row>
    <row r="22" spans="1:18" hidden="1">
      <c r="A22" s="197" t="s">
        <v>14</v>
      </c>
      <c r="B22" s="197" t="s">
        <v>126</v>
      </c>
      <c r="C22" s="198" t="s">
        <v>52</v>
      </c>
      <c r="D22" s="197" t="s">
        <v>24</v>
      </c>
      <c r="E22" s="197" t="s">
        <v>18</v>
      </c>
      <c r="F22" s="197" t="s">
        <v>167</v>
      </c>
      <c r="G22" s="197" t="s">
        <v>20</v>
      </c>
      <c r="H22" s="199" t="s">
        <v>132</v>
      </c>
      <c r="I22" s="161">
        <v>45912</v>
      </c>
      <c r="J22" s="201">
        <f t="shared" si="1"/>
        <v>4428</v>
      </c>
      <c r="K22" s="207">
        <f>K9-$J9</f>
        <v>346</v>
      </c>
      <c r="L22" s="207">
        <f t="shared" si="0"/>
        <v>856</v>
      </c>
      <c r="M22" s="207">
        <f t="shared" si="0"/>
        <v>1520</v>
      </c>
      <c r="N22" s="207">
        <f t="shared" si="0"/>
        <v>1706</v>
      </c>
      <c r="O22" s="251"/>
      <c r="P22" s="59">
        <v>45905</v>
      </c>
      <c r="Q22" s="184" t="s">
        <v>120</v>
      </c>
      <c r="R22" s="99">
        <v>45924</v>
      </c>
    </row>
    <row r="23" spans="1:18" hidden="1">
      <c r="A23" s="198" t="s">
        <v>14</v>
      </c>
      <c r="B23" s="198" t="s">
        <v>164</v>
      </c>
      <c r="C23" s="198" t="s">
        <v>41</v>
      </c>
      <c r="D23" s="198" t="s">
        <v>165</v>
      </c>
      <c r="E23" s="198" t="s">
        <v>18</v>
      </c>
      <c r="F23" s="198" t="s">
        <v>166</v>
      </c>
      <c r="G23" s="198" t="s">
        <v>20</v>
      </c>
      <c r="H23" s="200" t="s">
        <v>91</v>
      </c>
      <c r="I23" s="161">
        <v>45912</v>
      </c>
      <c r="J23" s="201" t="e">
        <f t="shared" si="1"/>
        <v>#VALUE!</v>
      </c>
      <c r="K23" s="207" t="e">
        <f t="shared" si="2"/>
        <v>#VALUE!</v>
      </c>
      <c r="L23" s="207">
        <f t="shared" si="0"/>
        <v>1909</v>
      </c>
      <c r="M23" s="207">
        <f t="shared" si="0"/>
        <v>2259</v>
      </c>
      <c r="N23" s="207">
        <f t="shared" si="0"/>
        <v>2473</v>
      </c>
      <c r="O23" s="207"/>
      <c r="P23" s="141">
        <v>45918</v>
      </c>
      <c r="Q23" s="184" t="s">
        <v>194</v>
      </c>
      <c r="R23" s="99">
        <v>45923</v>
      </c>
    </row>
    <row r="24" spans="1:18" hidden="1">
      <c r="A24" s="209" t="s">
        <v>14</v>
      </c>
      <c r="B24" s="209" t="s">
        <v>31</v>
      </c>
      <c r="C24" s="209" t="s">
        <v>47</v>
      </c>
      <c r="D24" s="209" t="s">
        <v>24</v>
      </c>
      <c r="E24" s="209" t="s">
        <v>18</v>
      </c>
      <c r="F24" s="209" t="s">
        <v>180</v>
      </c>
      <c r="G24" s="209" t="s">
        <v>20</v>
      </c>
      <c r="H24" s="217" t="s">
        <v>163</v>
      </c>
      <c r="I24" s="161">
        <v>45912</v>
      </c>
      <c r="J24" s="201" t="e">
        <f t="shared" si="1"/>
        <v>#VALUE!</v>
      </c>
      <c r="K24" s="207" t="e">
        <f t="shared" si="2"/>
        <v>#VALUE!</v>
      </c>
      <c r="L24" s="207">
        <f t="shared" si="0"/>
        <v>1115</v>
      </c>
      <c r="M24" s="207">
        <f t="shared" si="0"/>
        <v>1522</v>
      </c>
      <c r="N24" s="207">
        <f t="shared" si="0"/>
        <v>2139</v>
      </c>
      <c r="O24" s="207"/>
      <c r="P24" s="141">
        <v>45901</v>
      </c>
      <c r="Q24" s="184" t="s">
        <v>120</v>
      </c>
      <c r="R24" s="99">
        <v>45922</v>
      </c>
    </row>
    <row r="25" spans="1:18" hidden="1">
      <c r="A25" s="202" t="s">
        <v>14</v>
      </c>
      <c r="B25" s="204" t="s">
        <v>31</v>
      </c>
      <c r="C25" s="204" t="s">
        <v>168</v>
      </c>
      <c r="D25" s="202" t="s">
        <v>165</v>
      </c>
      <c r="E25" s="202" t="s">
        <v>18</v>
      </c>
      <c r="F25" s="202" t="s">
        <v>169</v>
      </c>
      <c r="G25" s="202" t="s">
        <v>20</v>
      </c>
      <c r="H25" s="202" t="s">
        <v>91</v>
      </c>
      <c r="I25" s="161">
        <v>45912</v>
      </c>
      <c r="J25" s="201" t="e">
        <f t="shared" si="1"/>
        <v>#VALUE!</v>
      </c>
      <c r="K25" s="207">
        <f t="shared" si="2"/>
        <v>1011</v>
      </c>
      <c r="L25" s="207">
        <f t="shared" si="0"/>
        <v>1968</v>
      </c>
      <c r="M25" s="207">
        <f t="shared" si="0"/>
        <v>3330</v>
      </c>
      <c r="N25" s="207" t="e">
        <f t="shared" si="0"/>
        <v>#VALUE!</v>
      </c>
      <c r="O25" s="207"/>
      <c r="P25" s="141">
        <v>45905</v>
      </c>
      <c r="Q25" s="184" t="s">
        <v>120</v>
      </c>
      <c r="R25" s="99">
        <v>45922</v>
      </c>
    </row>
    <row r="26" spans="1:18" ht="14.95" thickBot="1"/>
    <row r="27" spans="1:18" ht="28.55">
      <c r="A27" s="319" t="s">
        <v>249</v>
      </c>
      <c r="B27" s="320"/>
      <c r="C27" s="320"/>
      <c r="D27" s="320"/>
      <c r="E27" s="320"/>
      <c r="F27" s="226"/>
      <c r="G27" s="250" t="s">
        <v>238</v>
      </c>
      <c r="H27" s="259" t="s">
        <v>257</v>
      </c>
    </row>
    <row r="28" spans="1:18" ht="14.95" thickBot="1">
      <c r="A28" s="227" t="s">
        <v>250</v>
      </c>
      <c r="B28" s="222" t="s">
        <v>234</v>
      </c>
      <c r="C28" s="222" t="s">
        <v>235</v>
      </c>
      <c r="D28" s="222" t="s">
        <v>236</v>
      </c>
      <c r="E28" s="223" t="s">
        <v>237</v>
      </c>
      <c r="F28" s="223" t="s">
        <v>254</v>
      </c>
      <c r="G28" s="224" t="s">
        <v>251</v>
      </c>
      <c r="H28" s="225"/>
      <c r="P28"/>
      <c r="Q28" s="229"/>
    </row>
    <row r="29" spans="1:18" ht="14.95" thickBot="1">
      <c r="A29" s="252" t="s">
        <v>98</v>
      </c>
      <c r="B29" s="253" t="e">
        <f>K3-J3</f>
        <v>#VALUE!</v>
      </c>
      <c r="C29" s="254" t="e">
        <f>L3-K3</f>
        <v>#VALUE!</v>
      </c>
      <c r="D29" s="254" t="e">
        <f>M3-L3</f>
        <v>#VALUE!</v>
      </c>
      <c r="E29" s="254" t="e">
        <f>N3-M3</f>
        <v>#VALUE!</v>
      </c>
      <c r="F29" s="254">
        <f>O3-N3</f>
        <v>-1228</v>
      </c>
      <c r="G29" s="257" t="e">
        <f>SUM(B29:F29)</f>
        <v>#VALUE!</v>
      </c>
      <c r="H29" s="239" t="str">
        <f>R3</f>
        <v>20.06.2026</v>
      </c>
      <c r="P29"/>
      <c r="Q29" s="229"/>
    </row>
    <row r="30" spans="1:18" ht="14.95" thickBot="1">
      <c r="A30" s="219" t="s">
        <v>32</v>
      </c>
      <c r="B30" s="253">
        <f t="shared" ref="B30:F38" si="3">K4-J4</f>
        <v>736</v>
      </c>
      <c r="C30" s="254">
        <f t="shared" si="3"/>
        <v>642</v>
      </c>
      <c r="D30" s="254">
        <f t="shared" si="3"/>
        <v>780</v>
      </c>
      <c r="E30" s="254">
        <f t="shared" si="3"/>
        <v>644</v>
      </c>
      <c r="F30" s="254">
        <f t="shared" si="3"/>
        <v>-46747</v>
      </c>
      <c r="G30" s="257">
        <f>SUM(B30:F30)</f>
        <v>-43945</v>
      </c>
      <c r="H30" s="239" t="str">
        <f t="shared" ref="H30:H38" si="4">R4</f>
        <v>01.06.2026</v>
      </c>
      <c r="P30"/>
      <c r="Q30" s="229"/>
    </row>
    <row r="31" spans="1:18" ht="14.95" thickBot="1">
      <c r="A31" s="219" t="s">
        <v>49</v>
      </c>
      <c r="B31" s="253">
        <f t="shared" si="3"/>
        <v>189</v>
      </c>
      <c r="C31" s="254">
        <f t="shared" si="3"/>
        <v>729</v>
      </c>
      <c r="D31" s="254">
        <f t="shared" si="3"/>
        <v>894</v>
      </c>
      <c r="E31" s="254">
        <f t="shared" si="3"/>
        <v>322</v>
      </c>
      <c r="F31" s="254">
        <f t="shared" si="3"/>
        <v>-39998</v>
      </c>
      <c r="G31" s="257">
        <f t="shared" ref="G31:G38" si="5">SUM(B31:F31)</f>
        <v>-37864</v>
      </c>
      <c r="H31" s="239" t="str">
        <f t="shared" si="4"/>
        <v>30.06.2026</v>
      </c>
      <c r="P31"/>
      <c r="Q31" s="229"/>
    </row>
    <row r="32" spans="1:18" ht="14.95" thickBot="1">
      <c r="A32" s="219" t="s">
        <v>16</v>
      </c>
      <c r="B32" s="253">
        <f t="shared" si="3"/>
        <v>862</v>
      </c>
      <c r="C32" s="254">
        <f t="shared" si="3"/>
        <v>804</v>
      </c>
      <c r="D32" s="254">
        <f t="shared" si="3"/>
        <v>775</v>
      </c>
      <c r="E32" s="254">
        <f t="shared" si="3"/>
        <v>531</v>
      </c>
      <c r="F32" s="254">
        <f t="shared" si="3"/>
        <v>-62203</v>
      </c>
      <c r="G32" s="257">
        <f t="shared" si="5"/>
        <v>-59231</v>
      </c>
      <c r="H32" s="239" t="str">
        <f>R6</f>
        <v>08.06.2026</v>
      </c>
      <c r="P32"/>
      <c r="Q32" s="229"/>
    </row>
    <row r="33" spans="1:17" ht="14.95" thickBot="1">
      <c r="A33" s="219" t="s">
        <v>23</v>
      </c>
      <c r="B33" s="253">
        <f t="shared" si="3"/>
        <v>497</v>
      </c>
      <c r="C33" s="254">
        <f t="shared" si="3"/>
        <v>321</v>
      </c>
      <c r="D33" s="254" t="e">
        <f t="shared" si="3"/>
        <v>#VALUE!</v>
      </c>
      <c r="E33" s="254" t="e">
        <f t="shared" si="3"/>
        <v>#VALUE!</v>
      </c>
      <c r="F33" s="254">
        <f t="shared" si="3"/>
        <v>-38224</v>
      </c>
      <c r="G33" s="257" t="e">
        <f t="shared" si="5"/>
        <v>#VALUE!</v>
      </c>
      <c r="H33" s="239" t="str">
        <f t="shared" si="4"/>
        <v>30.04.2026</v>
      </c>
      <c r="P33"/>
      <c r="Q33" s="229"/>
    </row>
    <row r="34" spans="1:17" ht="14.95" thickBot="1">
      <c r="A34" s="219" t="s">
        <v>28</v>
      </c>
      <c r="B34" s="253">
        <f>K8-J8</f>
        <v>810</v>
      </c>
      <c r="C34" s="254">
        <f>L8-K8</f>
        <v>850</v>
      </c>
      <c r="D34" s="254">
        <f t="shared" si="3"/>
        <v>918</v>
      </c>
      <c r="E34" s="254">
        <f t="shared" si="3"/>
        <v>570</v>
      </c>
      <c r="F34" s="254">
        <f t="shared" si="3"/>
        <v>-130111</v>
      </c>
      <c r="G34" s="257">
        <f t="shared" si="5"/>
        <v>-126963</v>
      </c>
      <c r="H34" s="239" t="str">
        <f t="shared" si="4"/>
        <v>30.05.2026</v>
      </c>
      <c r="P34"/>
      <c r="Q34" s="229"/>
    </row>
    <row r="35" spans="1:17" ht="14.95" thickBot="1">
      <c r="A35" s="219" t="s">
        <v>52</v>
      </c>
      <c r="B35" s="253">
        <f>K9-J9</f>
        <v>346</v>
      </c>
      <c r="C35" s="254">
        <f>L9-K9</f>
        <v>510</v>
      </c>
      <c r="D35" s="254">
        <f t="shared" si="3"/>
        <v>664</v>
      </c>
      <c r="E35" s="254">
        <f t="shared" si="3"/>
        <v>186</v>
      </c>
      <c r="F35" s="254">
        <f t="shared" si="3"/>
        <v>-3570</v>
      </c>
      <c r="G35" s="257">
        <f t="shared" si="5"/>
        <v>-1864</v>
      </c>
      <c r="H35" s="239" t="str">
        <f t="shared" si="4"/>
        <v>14.06.2026</v>
      </c>
      <c r="P35"/>
      <c r="Q35" s="229"/>
    </row>
    <row r="36" spans="1:17" ht="14.95" thickBot="1">
      <c r="A36" s="219" t="s">
        <v>41</v>
      </c>
      <c r="B36" s="253" t="e">
        <f t="shared" si="3"/>
        <v>#VALUE!</v>
      </c>
      <c r="C36" s="254" t="e">
        <f t="shared" si="3"/>
        <v>#VALUE!</v>
      </c>
      <c r="D36" s="254">
        <f t="shared" si="3"/>
        <v>350</v>
      </c>
      <c r="E36" s="254">
        <f t="shared" si="3"/>
        <v>214</v>
      </c>
      <c r="F36" s="254">
        <f t="shared" si="3"/>
        <v>-41695</v>
      </c>
      <c r="G36" s="257" t="e">
        <f t="shared" si="5"/>
        <v>#VALUE!</v>
      </c>
      <c r="H36" s="239" t="str">
        <f t="shared" si="4"/>
        <v>29.06.2026</v>
      </c>
      <c r="P36"/>
      <c r="Q36" s="229"/>
    </row>
    <row r="37" spans="1:17" ht="14.95" thickBot="1">
      <c r="A37" s="220" t="s">
        <v>47</v>
      </c>
      <c r="B37" s="253" t="e">
        <f t="shared" si="3"/>
        <v>#VALUE!</v>
      </c>
      <c r="C37" s="254" t="e">
        <f t="shared" si="3"/>
        <v>#VALUE!</v>
      </c>
      <c r="D37" s="254">
        <f t="shared" si="3"/>
        <v>407</v>
      </c>
      <c r="E37" s="254">
        <f t="shared" si="3"/>
        <v>617</v>
      </c>
      <c r="F37" s="254">
        <f t="shared" si="3"/>
        <v>-38767</v>
      </c>
      <c r="G37" s="257" t="e">
        <f t="shared" si="5"/>
        <v>#VALUE!</v>
      </c>
      <c r="H37" s="239" t="str">
        <f t="shared" si="4"/>
        <v>07.06.2026</v>
      </c>
      <c r="P37"/>
      <c r="Q37" s="229"/>
    </row>
    <row r="38" spans="1:17" ht="14.95" thickBot="1">
      <c r="A38" s="221" t="s">
        <v>168</v>
      </c>
      <c r="B38" s="253">
        <f t="shared" si="3"/>
        <v>1011</v>
      </c>
      <c r="C38" s="254">
        <f t="shared" si="3"/>
        <v>957</v>
      </c>
      <c r="D38" s="254">
        <f t="shared" si="3"/>
        <v>1362</v>
      </c>
      <c r="E38" s="254" t="e">
        <f t="shared" si="3"/>
        <v>#VALUE!</v>
      </c>
      <c r="F38" s="254" t="e">
        <f t="shared" si="3"/>
        <v>#VALUE!</v>
      </c>
      <c r="G38" s="257" t="e">
        <f t="shared" si="5"/>
        <v>#VALUE!</v>
      </c>
      <c r="H38" s="239" t="str">
        <f t="shared" si="4"/>
        <v>09.06.2026</v>
      </c>
      <c r="P38"/>
      <c r="Q38" s="229"/>
    </row>
  </sheetData>
  <autoFilter ref="A2:R2">
    <sortState ref="A3:R12">
      <sortCondition ref="C2"/>
    </sortState>
  </autoFilter>
  <mergeCells count="1">
    <mergeCell ref="A27:E27"/>
  </mergeCells>
  <conditionalFormatting sqref="B29:B38 C30:E30 F30:G38 E31:E38">
    <cfRule type="cellIs" dxfId="63" priority="16" operator="between">
      <formula>1</formula>
      <formula>299</formula>
    </cfRule>
  </conditionalFormatting>
  <conditionalFormatting sqref="B29:G38">
    <cfRule type="cellIs" priority="17" operator="equal">
      <formula>0</formula>
    </cfRule>
  </conditionalFormatting>
  <conditionalFormatting sqref="C30:E30 F30:G38 E31:E38 B29:B38">
    <cfRule type="cellIs" dxfId="62" priority="14" operator="greaterThan">
      <formula>500</formula>
    </cfRule>
    <cfRule type="cellIs" dxfId="61" priority="15" operator="between">
      <formula>300</formula>
      <formula>500</formula>
    </cfRule>
  </conditionalFormatting>
  <conditionalFormatting sqref="C29:G38">
    <cfRule type="cellIs" dxfId="60" priority="11" operator="between">
      <formula>1</formula>
      <formula>600</formula>
    </cfRule>
    <cfRule type="cellIs" dxfId="59" priority="12" operator="between">
      <formula>600</formula>
      <formula>1000</formula>
    </cfRule>
    <cfRule type="cellIs" dxfId="58" priority="13" operator="greaterThan">
      <formula>1000</formula>
    </cfRule>
  </conditionalFormatting>
  <conditionalFormatting sqref="D29:G38">
    <cfRule type="cellIs" dxfId="57" priority="8" operator="greaterThan">
      <formula>1501</formula>
    </cfRule>
    <cfRule type="cellIs" dxfId="56" priority="9" operator="between">
      <formula>1</formula>
      <formula>900</formula>
    </cfRule>
    <cfRule type="cellIs" dxfId="55" priority="10" operator="between">
      <formula>900</formula>
      <formula>1500</formula>
    </cfRule>
  </conditionalFormatting>
  <conditionalFormatting sqref="E30:F38">
    <cfRule type="cellIs" dxfId="54" priority="7" operator="greaterThan">
      <formula>2000</formula>
    </cfRule>
  </conditionalFormatting>
  <conditionalFormatting sqref="G29:G38 E30:F38">
    <cfRule type="cellIs" dxfId="53" priority="5" operator="between">
      <formula>1201</formula>
      <formula>2000</formula>
    </cfRule>
    <cfRule type="cellIs" dxfId="52" priority="6" operator="between">
      <formula>1</formula>
      <formula>1200</formula>
    </cfRule>
  </conditionalFormatting>
  <conditionalFormatting sqref="G29:G38">
    <cfRule type="cellIs" dxfId="51" priority="1" operator="between">
      <formula>1500</formula>
      <formula>2000</formula>
    </cfRule>
    <cfRule type="cellIs" dxfId="50" priority="2" operator="between">
      <formula>1200</formula>
      <formula>2000</formula>
    </cfRule>
    <cfRule type="cellIs" dxfId="49" priority="3" operator="greaterThan">
      <formula>2000</formula>
    </cfRule>
  </conditionalFormatting>
  <conditionalFormatting sqref="H29:H38">
    <cfRule type="cellIs" dxfId="48" priority="4" operator="lessThan">
      <formula>$H$28</formula>
    </cfRule>
  </conditionalFormatting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view="pageBreakPreview" zoomScale="120" zoomScaleNormal="90" zoomScaleSheetLayoutView="120" workbookViewId="0">
      <selection activeCell="F6" sqref="F6"/>
    </sheetView>
  </sheetViews>
  <sheetFormatPr defaultColWidth="9.125" defaultRowHeight="14.3"/>
  <cols>
    <col min="1" max="1" width="16.125" customWidth="1"/>
    <col min="2" max="5" width="15.625" customWidth="1"/>
    <col min="6" max="6" width="11.125" customWidth="1"/>
    <col min="7" max="7" width="12.875" customWidth="1"/>
    <col min="8" max="8" width="19.5" bestFit="1" customWidth="1"/>
    <col min="9" max="9" width="13.625" bestFit="1" customWidth="1"/>
    <col min="10" max="10" width="11.125" bestFit="1" customWidth="1"/>
    <col min="11" max="13" width="11.125" customWidth="1"/>
    <col min="14" max="15" width="16.375" customWidth="1"/>
    <col min="16" max="16" width="19.875" style="229" bestFit="1" customWidth="1"/>
    <col min="17" max="17" width="26.875" bestFit="1" customWidth="1"/>
    <col min="18" max="18" width="18.375" bestFit="1" customWidth="1"/>
  </cols>
  <sheetData>
    <row r="1" spans="1:18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228"/>
      <c r="Q1" s="171"/>
      <c r="R1" s="172"/>
    </row>
    <row r="2" spans="1:18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232</v>
      </c>
      <c r="J2" s="193" t="s">
        <v>233</v>
      </c>
      <c r="K2" s="216" t="s">
        <v>234</v>
      </c>
      <c r="L2" s="216" t="s">
        <v>235</v>
      </c>
      <c r="M2" s="216" t="s">
        <v>236</v>
      </c>
      <c r="N2" s="216" t="s">
        <v>237</v>
      </c>
      <c r="O2" s="216" t="s">
        <v>254</v>
      </c>
      <c r="P2" s="236" t="s">
        <v>238</v>
      </c>
      <c r="Q2" s="261" t="s">
        <v>239</v>
      </c>
      <c r="R2" s="216" t="s">
        <v>240</v>
      </c>
    </row>
    <row r="3" spans="1:18">
      <c r="A3" s="198" t="s">
        <v>96</v>
      </c>
      <c r="B3" s="198" t="s">
        <v>279</v>
      </c>
      <c r="C3" s="287" t="s">
        <v>98</v>
      </c>
      <c r="D3" s="198" t="s">
        <v>99</v>
      </c>
      <c r="E3" s="198" t="s">
        <v>34</v>
      </c>
      <c r="F3" s="198" t="s">
        <v>335</v>
      </c>
      <c r="G3" s="198" t="s">
        <v>20</v>
      </c>
      <c r="H3" s="199" t="s">
        <v>355</v>
      </c>
      <c r="I3" s="244">
        <v>46087</v>
      </c>
      <c r="J3" s="207">
        <v>1519</v>
      </c>
      <c r="K3" s="237">
        <v>2229</v>
      </c>
      <c r="L3" s="237"/>
      <c r="M3" s="207"/>
      <c r="N3" s="207"/>
      <c r="O3" s="207"/>
      <c r="P3" s="242" t="s">
        <v>340</v>
      </c>
      <c r="Q3" s="260" t="s">
        <v>259</v>
      </c>
      <c r="R3" s="288" t="s">
        <v>357</v>
      </c>
    </row>
    <row r="4" spans="1:18" s="19" customFormat="1">
      <c r="A4" s="235" t="s">
        <v>14</v>
      </c>
      <c r="B4" s="235" t="s">
        <v>126</v>
      </c>
      <c r="C4" s="287" t="s">
        <v>32</v>
      </c>
      <c r="D4" s="235" t="s">
        <v>24</v>
      </c>
      <c r="E4" s="235" t="s">
        <v>34</v>
      </c>
      <c r="F4" s="267" t="s">
        <v>139</v>
      </c>
      <c r="G4" s="238" t="s">
        <v>20</v>
      </c>
      <c r="H4" s="245" t="s">
        <v>333</v>
      </c>
      <c r="I4" s="244">
        <v>46087</v>
      </c>
      <c r="J4" s="234">
        <v>47764</v>
      </c>
      <c r="K4" s="237">
        <v>48591</v>
      </c>
      <c r="L4" s="237"/>
      <c r="M4" s="207"/>
      <c r="N4" s="234"/>
      <c r="O4" s="234"/>
      <c r="P4" s="242" t="s">
        <v>362</v>
      </c>
      <c r="Q4" s="260" t="s">
        <v>259</v>
      </c>
      <c r="R4" s="241" t="s">
        <v>358</v>
      </c>
    </row>
    <row r="5" spans="1:18" s="19" customFormat="1">
      <c r="A5" s="235" t="s">
        <v>14</v>
      </c>
      <c r="B5" s="235" t="s">
        <v>92</v>
      </c>
      <c r="C5" s="60" t="s">
        <v>49</v>
      </c>
      <c r="D5" s="235" t="s">
        <v>24</v>
      </c>
      <c r="E5" s="235" t="s">
        <v>34</v>
      </c>
      <c r="F5" s="267" t="s">
        <v>93</v>
      </c>
      <c r="G5" s="235" t="s">
        <v>20</v>
      </c>
      <c r="H5" s="245" t="s">
        <v>286</v>
      </c>
      <c r="I5" s="244">
        <v>46087</v>
      </c>
      <c r="J5" s="234">
        <v>40416</v>
      </c>
      <c r="K5" s="237">
        <v>41419</v>
      </c>
      <c r="L5" s="237"/>
      <c r="M5" s="207"/>
      <c r="N5" s="234"/>
      <c r="O5" s="234"/>
      <c r="P5" s="269" t="s">
        <v>357</v>
      </c>
      <c r="Q5" s="260" t="s">
        <v>259</v>
      </c>
      <c r="R5" s="269" t="s">
        <v>357</v>
      </c>
    </row>
    <row r="6" spans="1:18" s="19" customFormat="1">
      <c r="A6" s="238" t="s">
        <v>14</v>
      </c>
      <c r="B6" s="238" t="s">
        <v>15</v>
      </c>
      <c r="C6" s="287" t="s">
        <v>16</v>
      </c>
      <c r="D6" s="238" t="s">
        <v>165</v>
      </c>
      <c r="E6" s="238" t="s">
        <v>165</v>
      </c>
      <c r="F6" s="271" t="s">
        <v>283</v>
      </c>
      <c r="G6" s="238" t="s">
        <v>20</v>
      </c>
      <c r="H6" s="266" t="s">
        <v>299</v>
      </c>
      <c r="I6" s="244">
        <v>46087</v>
      </c>
      <c r="J6" s="234" t="s">
        <v>337</v>
      </c>
      <c r="K6" s="237">
        <v>63560</v>
      </c>
      <c r="L6" s="237"/>
      <c r="M6" s="207"/>
      <c r="N6" s="234"/>
      <c r="O6" s="234"/>
      <c r="P6" s="269" t="s">
        <v>361</v>
      </c>
      <c r="Q6" s="260" t="s">
        <v>259</v>
      </c>
      <c r="R6" s="269"/>
    </row>
    <row r="7" spans="1:18" s="19" customFormat="1">
      <c r="A7" s="235" t="s">
        <v>14</v>
      </c>
      <c r="B7" s="235" t="s">
        <v>126</v>
      </c>
      <c r="C7" s="287" t="s">
        <v>23</v>
      </c>
      <c r="D7" s="235" t="s">
        <v>24</v>
      </c>
      <c r="E7" s="235" t="s">
        <v>34</v>
      </c>
      <c r="F7" s="267" t="s">
        <v>176</v>
      </c>
      <c r="G7" s="238" t="s">
        <v>20</v>
      </c>
      <c r="H7" s="245" t="s">
        <v>318</v>
      </c>
      <c r="I7" s="244">
        <v>46087</v>
      </c>
      <c r="J7" s="234">
        <v>38383</v>
      </c>
      <c r="K7" s="237">
        <v>39171</v>
      </c>
      <c r="L7" s="237"/>
      <c r="M7" s="207"/>
      <c r="N7" s="234"/>
      <c r="O7" s="234"/>
      <c r="P7" s="269" t="s">
        <v>343</v>
      </c>
      <c r="Q7" s="260" t="s">
        <v>259</v>
      </c>
      <c r="R7" s="241"/>
    </row>
    <row r="8" spans="1:18" s="19" customFormat="1">
      <c r="A8" s="235" t="s">
        <v>14</v>
      </c>
      <c r="B8" s="235" t="s">
        <v>27</v>
      </c>
      <c r="C8" s="60" t="s">
        <v>28</v>
      </c>
      <c r="D8" s="235" t="s">
        <v>165</v>
      </c>
      <c r="E8" s="235" t="s">
        <v>165</v>
      </c>
      <c r="F8" s="267" t="s">
        <v>29</v>
      </c>
      <c r="G8" s="238" t="s">
        <v>20</v>
      </c>
      <c r="H8" s="245" t="s">
        <v>354</v>
      </c>
      <c r="I8" s="244">
        <v>46087</v>
      </c>
      <c r="J8" s="234">
        <v>131025</v>
      </c>
      <c r="K8" s="237">
        <v>132396</v>
      </c>
      <c r="L8" s="237"/>
      <c r="M8" s="207"/>
      <c r="N8" s="234"/>
      <c r="O8" s="234"/>
      <c r="P8" s="241" t="s">
        <v>360</v>
      </c>
      <c r="Q8" s="260" t="s">
        <v>259</v>
      </c>
      <c r="R8" s="241" t="s">
        <v>268</v>
      </c>
    </row>
    <row r="9" spans="1:18" s="19" customFormat="1">
      <c r="A9" s="238" t="s">
        <v>14</v>
      </c>
      <c r="B9" s="238" t="s">
        <v>281</v>
      </c>
      <c r="C9" s="287" t="s">
        <v>52</v>
      </c>
      <c r="D9" s="238" t="s">
        <v>99</v>
      </c>
      <c r="E9" s="235" t="s">
        <v>34</v>
      </c>
      <c r="F9" s="271" t="s">
        <v>322</v>
      </c>
      <c r="G9" s="238" t="s">
        <v>20</v>
      </c>
      <c r="H9" s="248" t="s">
        <v>356</v>
      </c>
      <c r="I9" s="244">
        <v>46087</v>
      </c>
      <c r="J9" s="234">
        <v>4235</v>
      </c>
      <c r="K9" s="237">
        <v>5025</v>
      </c>
      <c r="L9" s="237"/>
      <c r="M9" s="207"/>
      <c r="N9" s="234"/>
      <c r="O9" s="234"/>
      <c r="P9" s="274" t="s">
        <v>344</v>
      </c>
      <c r="Q9" s="260" t="s">
        <v>259</v>
      </c>
      <c r="R9" s="274" t="s">
        <v>357</v>
      </c>
    </row>
    <row r="10" spans="1:18" s="19" customFormat="1">
      <c r="A10" s="235" t="s">
        <v>14</v>
      </c>
      <c r="B10" s="235" t="s">
        <v>126</v>
      </c>
      <c r="C10" s="287" t="s">
        <v>41</v>
      </c>
      <c r="D10" s="235" t="s">
        <v>24</v>
      </c>
      <c r="E10" s="235" t="s">
        <v>34</v>
      </c>
      <c r="F10" s="267" t="s">
        <v>166</v>
      </c>
      <c r="G10" s="235" t="s">
        <v>20</v>
      </c>
      <c r="H10" s="245" t="s">
        <v>91</v>
      </c>
      <c r="I10" s="244">
        <v>46087</v>
      </c>
      <c r="J10" s="234">
        <v>42411</v>
      </c>
      <c r="K10" s="237">
        <v>44121</v>
      </c>
      <c r="L10" s="237"/>
      <c r="M10" s="207"/>
      <c r="N10" s="234"/>
      <c r="O10" s="234"/>
      <c r="P10" s="269" t="s">
        <v>353</v>
      </c>
      <c r="Q10" s="260" t="s">
        <v>259</v>
      </c>
      <c r="R10" s="269" t="s">
        <v>357</v>
      </c>
    </row>
    <row r="11" spans="1:18" s="19" customFormat="1">
      <c r="A11" s="275" t="s">
        <v>14</v>
      </c>
      <c r="B11" s="235" t="s">
        <v>126</v>
      </c>
      <c r="C11" s="286" t="s">
        <v>47</v>
      </c>
      <c r="D11" s="275" t="s">
        <v>24</v>
      </c>
      <c r="E11" s="235" t="s">
        <v>34</v>
      </c>
      <c r="F11" s="276" t="s">
        <v>180</v>
      </c>
      <c r="G11" s="275" t="s">
        <v>20</v>
      </c>
      <c r="H11" s="246" t="s">
        <v>327</v>
      </c>
      <c r="I11" s="244">
        <v>46087</v>
      </c>
      <c r="J11" s="234">
        <v>39417</v>
      </c>
      <c r="K11" s="237" t="s">
        <v>337</v>
      </c>
      <c r="L11" s="237"/>
      <c r="M11" s="207"/>
      <c r="N11" s="234"/>
      <c r="O11" s="234"/>
      <c r="P11" s="269" t="s">
        <v>346</v>
      </c>
      <c r="Q11" s="260" t="s">
        <v>259</v>
      </c>
      <c r="R11" s="241" t="s">
        <v>359</v>
      </c>
    </row>
    <row r="12" spans="1:18" s="19" customFormat="1">
      <c r="A12" s="247" t="s">
        <v>14</v>
      </c>
      <c r="B12" s="278" t="s">
        <v>27</v>
      </c>
      <c r="C12" s="285" t="s">
        <v>270</v>
      </c>
      <c r="D12" s="247" t="s">
        <v>165</v>
      </c>
      <c r="E12" s="247" t="s">
        <v>165</v>
      </c>
      <c r="F12" s="279" t="s">
        <v>169</v>
      </c>
      <c r="G12" s="247" t="s">
        <v>20</v>
      </c>
      <c r="H12" s="247" t="s">
        <v>298</v>
      </c>
      <c r="I12" s="244">
        <v>46087</v>
      </c>
      <c r="J12" s="234">
        <v>138448</v>
      </c>
      <c r="K12" s="237">
        <v>140251</v>
      </c>
      <c r="L12" s="237"/>
      <c r="M12" s="207"/>
      <c r="N12" s="234"/>
      <c r="O12" s="234"/>
      <c r="P12" s="241" t="s">
        <v>360</v>
      </c>
      <c r="Q12" s="260" t="s">
        <v>259</v>
      </c>
      <c r="R12" s="241" t="s">
        <v>315</v>
      </c>
    </row>
    <row r="14" spans="1:18">
      <c r="A14" s="169" t="s">
        <v>1</v>
      </c>
      <c r="B14" s="170"/>
      <c r="C14" s="170"/>
      <c r="D14" s="170"/>
      <c r="E14" s="170"/>
      <c r="F14" s="255"/>
      <c r="G14" s="170"/>
      <c r="H14" s="170"/>
      <c r="I14" s="170"/>
      <c r="J14" s="170"/>
      <c r="K14" s="170"/>
      <c r="L14" s="170"/>
      <c r="M14" s="170"/>
      <c r="N14" s="170"/>
      <c r="O14" s="170"/>
      <c r="P14" s="228"/>
      <c r="Q14" s="171"/>
      <c r="R14" s="172"/>
    </row>
    <row r="15" spans="1:18" hidden="1">
      <c r="A15" s="193" t="s">
        <v>2</v>
      </c>
      <c r="B15" s="193" t="s">
        <v>3</v>
      </c>
      <c r="C15" s="193" t="s">
        <v>4</v>
      </c>
      <c r="D15" s="193" t="s">
        <v>5</v>
      </c>
      <c r="E15" s="193" t="s">
        <v>6</v>
      </c>
      <c r="F15" s="193" t="s">
        <v>7</v>
      </c>
      <c r="G15" s="193" t="s">
        <v>8</v>
      </c>
      <c r="H15" s="193" t="s">
        <v>9</v>
      </c>
      <c r="I15" s="193" t="s">
        <v>10</v>
      </c>
      <c r="J15" s="193" t="s">
        <v>247</v>
      </c>
      <c r="K15" s="216" t="s">
        <v>234</v>
      </c>
      <c r="L15" s="216" t="s">
        <v>235</v>
      </c>
      <c r="M15" s="216" t="s">
        <v>236</v>
      </c>
      <c r="N15" s="216" t="s">
        <v>237</v>
      </c>
      <c r="O15" s="216"/>
      <c r="P15" s="230" t="s">
        <v>238</v>
      </c>
      <c r="Q15" s="231" t="s">
        <v>248</v>
      </c>
      <c r="R15" s="232" t="s">
        <v>240</v>
      </c>
    </row>
    <row r="16" spans="1:18" hidden="1">
      <c r="A16" s="198" t="s">
        <v>96</v>
      </c>
      <c r="B16" s="198" t="s">
        <v>97</v>
      </c>
      <c r="C16" s="198" t="s">
        <v>98</v>
      </c>
      <c r="D16" s="198" t="s">
        <v>99</v>
      </c>
      <c r="E16" s="198" t="s">
        <v>18</v>
      </c>
      <c r="F16" s="198" t="s">
        <v>100</v>
      </c>
      <c r="G16" s="198" t="s">
        <v>20</v>
      </c>
      <c r="H16" s="200" t="s">
        <v>101</v>
      </c>
      <c r="I16" s="161">
        <v>45912</v>
      </c>
      <c r="J16" s="201">
        <f>SUM(K16:N16)</f>
        <v>-3847</v>
      </c>
      <c r="K16" s="207">
        <f>K3-$J3</f>
        <v>710</v>
      </c>
      <c r="L16" s="207">
        <f t="shared" ref="L16:N25" si="0">L3-$J3</f>
        <v>-1519</v>
      </c>
      <c r="M16" s="207">
        <f t="shared" si="0"/>
        <v>-1519</v>
      </c>
      <c r="N16" s="207">
        <f t="shared" si="0"/>
        <v>-1519</v>
      </c>
      <c r="O16" s="207"/>
      <c r="P16" s="141">
        <v>45891</v>
      </c>
      <c r="Q16" s="218"/>
      <c r="R16" s="98"/>
    </row>
    <row r="17" spans="1:18" hidden="1">
      <c r="A17" s="198" t="s">
        <v>14</v>
      </c>
      <c r="B17" s="198" t="s">
        <v>126</v>
      </c>
      <c r="C17" s="198" t="s">
        <v>32</v>
      </c>
      <c r="D17" s="198" t="s">
        <v>24</v>
      </c>
      <c r="E17" s="198" t="s">
        <v>18</v>
      </c>
      <c r="F17" s="198" t="s">
        <v>139</v>
      </c>
      <c r="G17" s="197" t="s">
        <v>20</v>
      </c>
      <c r="H17" s="199" t="s">
        <v>66</v>
      </c>
      <c r="I17" s="161">
        <v>45912</v>
      </c>
      <c r="J17" s="201">
        <f t="shared" ref="J17:J25" si="1">SUM(K17:N17)</f>
        <v>-142465</v>
      </c>
      <c r="K17" s="207">
        <f t="shared" ref="K17:K25" si="2">K4-$J4</f>
        <v>827</v>
      </c>
      <c r="L17" s="207">
        <f t="shared" si="0"/>
        <v>-47764</v>
      </c>
      <c r="M17" s="207">
        <f t="shared" si="0"/>
        <v>-47764</v>
      </c>
      <c r="N17" s="207">
        <f t="shared" si="0"/>
        <v>-47764</v>
      </c>
      <c r="O17" s="207"/>
      <c r="P17" s="141">
        <v>45896</v>
      </c>
      <c r="Q17" s="218" t="s">
        <v>120</v>
      </c>
      <c r="R17" s="99">
        <v>45921</v>
      </c>
    </row>
    <row r="18" spans="1:18" hidden="1">
      <c r="A18" s="198" t="s">
        <v>14</v>
      </c>
      <c r="B18" s="198" t="s">
        <v>92</v>
      </c>
      <c r="C18" s="198" t="s">
        <v>49</v>
      </c>
      <c r="D18" s="198" t="s">
        <v>24</v>
      </c>
      <c r="E18" s="198" t="s">
        <v>18</v>
      </c>
      <c r="F18" s="198" t="s">
        <v>93</v>
      </c>
      <c r="G18" s="198" t="s">
        <v>20</v>
      </c>
      <c r="H18" s="200" t="s">
        <v>94</v>
      </c>
      <c r="I18" s="161">
        <v>45912</v>
      </c>
      <c r="J18" s="201">
        <f t="shared" si="1"/>
        <v>-120245</v>
      </c>
      <c r="K18" s="207">
        <f t="shared" si="2"/>
        <v>1003</v>
      </c>
      <c r="L18" s="207">
        <f t="shared" si="0"/>
        <v>-40416</v>
      </c>
      <c r="M18" s="207">
        <f t="shared" si="0"/>
        <v>-40416</v>
      </c>
      <c r="N18" s="207">
        <f t="shared" si="0"/>
        <v>-40416</v>
      </c>
      <c r="O18" s="207"/>
      <c r="P18" s="141">
        <v>45908</v>
      </c>
      <c r="Q18" s="182" t="s">
        <v>194</v>
      </c>
      <c r="R18" s="99">
        <v>45919</v>
      </c>
    </row>
    <row r="19" spans="1:18" hidden="1">
      <c r="A19" s="197" t="s">
        <v>14</v>
      </c>
      <c r="B19" s="197" t="s">
        <v>15</v>
      </c>
      <c r="C19" s="198" t="s">
        <v>16</v>
      </c>
      <c r="D19" s="197" t="s">
        <v>17</v>
      </c>
      <c r="E19" s="197" t="s">
        <v>18</v>
      </c>
      <c r="F19" s="197" t="s">
        <v>19</v>
      </c>
      <c r="G19" s="197" t="s">
        <v>20</v>
      </c>
      <c r="H19" s="199" t="s">
        <v>21</v>
      </c>
      <c r="I19" s="161">
        <v>45912</v>
      </c>
      <c r="J19" s="201" t="e">
        <f t="shared" si="1"/>
        <v>#VALUE!</v>
      </c>
      <c r="K19" s="207" t="e">
        <f t="shared" si="2"/>
        <v>#VALUE!</v>
      </c>
      <c r="L19" s="207" t="e">
        <f t="shared" si="0"/>
        <v>#VALUE!</v>
      </c>
      <c r="M19" s="207" t="e">
        <f t="shared" si="0"/>
        <v>#VALUE!</v>
      </c>
      <c r="N19" s="207" t="e">
        <f t="shared" si="0"/>
        <v>#VALUE!</v>
      </c>
      <c r="O19" s="207"/>
      <c r="P19" s="141">
        <v>45916</v>
      </c>
      <c r="Q19" s="182" t="s">
        <v>194</v>
      </c>
      <c r="R19" s="99">
        <v>45924</v>
      </c>
    </row>
    <row r="20" spans="1:18" hidden="1">
      <c r="A20" s="198" t="s">
        <v>14</v>
      </c>
      <c r="B20" s="198" t="s">
        <v>126</v>
      </c>
      <c r="C20" s="198" t="s">
        <v>23</v>
      </c>
      <c r="D20" s="198" t="s">
        <v>24</v>
      </c>
      <c r="E20" s="198" t="s">
        <v>18</v>
      </c>
      <c r="F20" s="198" t="s">
        <v>176</v>
      </c>
      <c r="G20" s="197" t="s">
        <v>20</v>
      </c>
      <c r="H20" s="199" t="s">
        <v>66</v>
      </c>
      <c r="I20" s="161">
        <v>45912</v>
      </c>
      <c r="J20" s="201">
        <f t="shared" si="1"/>
        <v>-114361</v>
      </c>
      <c r="K20" s="207">
        <f t="shared" si="2"/>
        <v>788</v>
      </c>
      <c r="L20" s="207">
        <f t="shared" si="0"/>
        <v>-38383</v>
      </c>
      <c r="M20" s="207">
        <f t="shared" si="0"/>
        <v>-38383</v>
      </c>
      <c r="N20" s="207">
        <f t="shared" si="0"/>
        <v>-38383</v>
      </c>
      <c r="O20" s="207"/>
      <c r="P20" s="141">
        <v>45901</v>
      </c>
      <c r="Q20" s="182" t="s">
        <v>120</v>
      </c>
      <c r="R20" s="99">
        <v>45920</v>
      </c>
    </row>
    <row r="21" spans="1:18" hidden="1">
      <c r="A21" s="198" t="s">
        <v>14</v>
      </c>
      <c r="B21" s="198" t="s">
        <v>27</v>
      </c>
      <c r="C21" s="198" t="s">
        <v>28</v>
      </c>
      <c r="D21" s="198" t="s">
        <v>17</v>
      </c>
      <c r="E21" s="198" t="s">
        <v>18</v>
      </c>
      <c r="F21" s="198" t="s">
        <v>29</v>
      </c>
      <c r="G21" s="197" t="s">
        <v>20</v>
      </c>
      <c r="H21" s="199" t="s">
        <v>30</v>
      </c>
      <c r="I21" s="161">
        <v>45912</v>
      </c>
      <c r="J21" s="201">
        <f t="shared" si="1"/>
        <v>-391704</v>
      </c>
      <c r="K21" s="207">
        <f>K8-$J8</f>
        <v>1371</v>
      </c>
      <c r="L21" s="207">
        <f t="shared" si="0"/>
        <v>-131025</v>
      </c>
      <c r="M21" s="207">
        <f t="shared" si="0"/>
        <v>-131025</v>
      </c>
      <c r="N21" s="207">
        <f t="shared" si="0"/>
        <v>-131025</v>
      </c>
      <c r="O21" s="207"/>
      <c r="P21" s="141">
        <v>45904</v>
      </c>
      <c r="Q21" s="218" t="s">
        <v>120</v>
      </c>
      <c r="R21" s="99">
        <v>45926</v>
      </c>
    </row>
    <row r="22" spans="1:18" hidden="1">
      <c r="A22" s="197" t="s">
        <v>14</v>
      </c>
      <c r="B22" s="197" t="s">
        <v>126</v>
      </c>
      <c r="C22" s="198" t="s">
        <v>52</v>
      </c>
      <c r="D22" s="197" t="s">
        <v>24</v>
      </c>
      <c r="E22" s="197" t="s">
        <v>18</v>
      </c>
      <c r="F22" s="197" t="s">
        <v>167</v>
      </c>
      <c r="G22" s="197" t="s">
        <v>20</v>
      </c>
      <c r="H22" s="199" t="s">
        <v>132</v>
      </c>
      <c r="I22" s="161">
        <v>45912</v>
      </c>
      <c r="J22" s="201">
        <f t="shared" si="1"/>
        <v>-11915</v>
      </c>
      <c r="K22" s="207">
        <f>K9-$J9</f>
        <v>790</v>
      </c>
      <c r="L22" s="207">
        <f t="shared" si="0"/>
        <v>-4235</v>
      </c>
      <c r="M22" s="207">
        <f t="shared" si="0"/>
        <v>-4235</v>
      </c>
      <c r="N22" s="207">
        <f t="shared" si="0"/>
        <v>-4235</v>
      </c>
      <c r="O22" s="251"/>
      <c r="P22" s="59">
        <v>45905</v>
      </c>
      <c r="Q22" s="184" t="s">
        <v>120</v>
      </c>
      <c r="R22" s="99">
        <v>45924</v>
      </c>
    </row>
    <row r="23" spans="1:18" hidden="1">
      <c r="A23" s="198" t="s">
        <v>14</v>
      </c>
      <c r="B23" s="198" t="s">
        <v>164</v>
      </c>
      <c r="C23" s="198" t="s">
        <v>41</v>
      </c>
      <c r="D23" s="198" t="s">
        <v>165</v>
      </c>
      <c r="E23" s="198" t="s">
        <v>18</v>
      </c>
      <c r="F23" s="198" t="s">
        <v>166</v>
      </c>
      <c r="G23" s="198" t="s">
        <v>20</v>
      </c>
      <c r="H23" s="200" t="s">
        <v>91</v>
      </c>
      <c r="I23" s="161">
        <v>45912</v>
      </c>
      <c r="J23" s="201">
        <f t="shared" si="1"/>
        <v>-125523</v>
      </c>
      <c r="K23" s="207">
        <f t="shared" si="2"/>
        <v>1710</v>
      </c>
      <c r="L23" s="207">
        <f t="shared" si="0"/>
        <v>-42411</v>
      </c>
      <c r="M23" s="207">
        <f t="shared" si="0"/>
        <v>-42411</v>
      </c>
      <c r="N23" s="207">
        <f t="shared" si="0"/>
        <v>-42411</v>
      </c>
      <c r="O23" s="207"/>
      <c r="P23" s="141">
        <v>45918</v>
      </c>
      <c r="Q23" s="184" t="s">
        <v>194</v>
      </c>
      <c r="R23" s="99">
        <v>45923</v>
      </c>
    </row>
    <row r="24" spans="1:18" hidden="1">
      <c r="A24" s="209" t="s">
        <v>14</v>
      </c>
      <c r="B24" s="209" t="s">
        <v>31</v>
      </c>
      <c r="C24" s="209" t="s">
        <v>47</v>
      </c>
      <c r="D24" s="209" t="s">
        <v>24</v>
      </c>
      <c r="E24" s="209" t="s">
        <v>18</v>
      </c>
      <c r="F24" s="209" t="s">
        <v>180</v>
      </c>
      <c r="G24" s="209" t="s">
        <v>20</v>
      </c>
      <c r="H24" s="217" t="s">
        <v>163</v>
      </c>
      <c r="I24" s="161">
        <v>45912</v>
      </c>
      <c r="J24" s="201" t="e">
        <f t="shared" si="1"/>
        <v>#VALUE!</v>
      </c>
      <c r="K24" s="207" t="e">
        <f t="shared" si="2"/>
        <v>#VALUE!</v>
      </c>
      <c r="L24" s="207">
        <f t="shared" si="0"/>
        <v>-39417</v>
      </c>
      <c r="M24" s="207">
        <f t="shared" si="0"/>
        <v>-39417</v>
      </c>
      <c r="N24" s="207">
        <f t="shared" si="0"/>
        <v>-39417</v>
      </c>
      <c r="O24" s="207"/>
      <c r="P24" s="141">
        <v>45901</v>
      </c>
      <c r="Q24" s="184" t="s">
        <v>120</v>
      </c>
      <c r="R24" s="99">
        <v>45922</v>
      </c>
    </row>
    <row r="25" spans="1:18" hidden="1">
      <c r="A25" s="202" t="s">
        <v>14</v>
      </c>
      <c r="B25" s="204" t="s">
        <v>31</v>
      </c>
      <c r="C25" s="204" t="s">
        <v>168</v>
      </c>
      <c r="D25" s="202" t="s">
        <v>165</v>
      </c>
      <c r="E25" s="202" t="s">
        <v>18</v>
      </c>
      <c r="F25" s="202" t="s">
        <v>169</v>
      </c>
      <c r="G25" s="202" t="s">
        <v>20</v>
      </c>
      <c r="H25" s="202" t="s">
        <v>91</v>
      </c>
      <c r="I25" s="161">
        <v>45912</v>
      </c>
      <c r="J25" s="201">
        <f t="shared" si="1"/>
        <v>-413541</v>
      </c>
      <c r="K25" s="207">
        <f t="shared" si="2"/>
        <v>1803</v>
      </c>
      <c r="L25" s="207">
        <f t="shared" si="0"/>
        <v>-138448</v>
      </c>
      <c r="M25" s="207">
        <f t="shared" si="0"/>
        <v>-138448</v>
      </c>
      <c r="N25" s="207">
        <f t="shared" si="0"/>
        <v>-138448</v>
      </c>
      <c r="O25" s="207"/>
      <c r="P25" s="141">
        <v>45905</v>
      </c>
      <c r="Q25" s="184" t="s">
        <v>120</v>
      </c>
      <c r="R25" s="99">
        <v>45922</v>
      </c>
    </row>
    <row r="26" spans="1:18" ht="14.95" thickBot="1"/>
    <row r="27" spans="1:18" ht="28.55">
      <c r="A27" s="319" t="s">
        <v>249</v>
      </c>
      <c r="B27" s="320"/>
      <c r="C27" s="320"/>
      <c r="D27" s="320"/>
      <c r="E27" s="320"/>
      <c r="F27" s="226"/>
      <c r="G27" s="250" t="s">
        <v>238</v>
      </c>
      <c r="H27" s="259" t="s">
        <v>257</v>
      </c>
    </row>
    <row r="28" spans="1:18" ht="14.95" thickBot="1">
      <c r="A28" s="227" t="s">
        <v>250</v>
      </c>
      <c r="B28" s="222" t="s">
        <v>234</v>
      </c>
      <c r="C28" s="222" t="s">
        <v>235</v>
      </c>
      <c r="D28" s="222" t="s">
        <v>236</v>
      </c>
      <c r="E28" s="223" t="s">
        <v>237</v>
      </c>
      <c r="F28" s="223" t="s">
        <v>254</v>
      </c>
      <c r="G28" s="224" t="s">
        <v>251</v>
      </c>
      <c r="H28" s="225"/>
      <c r="P28"/>
      <c r="Q28" s="229"/>
    </row>
    <row r="29" spans="1:18" ht="14.95" thickBot="1">
      <c r="A29" s="252" t="s">
        <v>98</v>
      </c>
      <c r="B29" s="253">
        <f>K3-J3</f>
        <v>710</v>
      </c>
      <c r="C29" s="254">
        <f>L3-K3</f>
        <v>-2229</v>
      </c>
      <c r="D29" s="254">
        <f>M3-L3</f>
        <v>0</v>
      </c>
      <c r="E29" s="254">
        <f>N3-M3</f>
        <v>0</v>
      </c>
      <c r="F29" s="254">
        <f>O3-N3</f>
        <v>0</v>
      </c>
      <c r="G29" s="257">
        <f>SUM(B29:F29)</f>
        <v>-1519</v>
      </c>
      <c r="H29" s="239" t="str">
        <f>R3</f>
        <v>19.06.2026</v>
      </c>
      <c r="P29"/>
      <c r="Q29" s="229"/>
    </row>
    <row r="30" spans="1:18" ht="14.95" thickBot="1">
      <c r="A30" s="219" t="s">
        <v>32</v>
      </c>
      <c r="B30" s="253">
        <f t="shared" ref="B30:F38" si="3">K4-J4</f>
        <v>827</v>
      </c>
      <c r="C30" s="254">
        <f t="shared" si="3"/>
        <v>-48591</v>
      </c>
      <c r="D30" s="254">
        <f t="shared" si="3"/>
        <v>0</v>
      </c>
      <c r="E30" s="254">
        <f t="shared" si="3"/>
        <v>0</v>
      </c>
      <c r="F30" s="254">
        <f t="shared" si="3"/>
        <v>0</v>
      </c>
      <c r="G30" s="257">
        <f>SUM(B30:F30)</f>
        <v>-47764</v>
      </c>
      <c r="H30" s="239" t="str">
        <f t="shared" ref="H30:H38" si="4">R4</f>
        <v>17.06.2026</v>
      </c>
      <c r="P30"/>
      <c r="Q30" s="229"/>
    </row>
    <row r="31" spans="1:18" ht="14.95" thickBot="1">
      <c r="A31" s="219" t="s">
        <v>49</v>
      </c>
      <c r="B31" s="253">
        <f t="shared" si="3"/>
        <v>1003</v>
      </c>
      <c r="C31" s="254">
        <f t="shared" si="3"/>
        <v>-41419</v>
      </c>
      <c r="D31" s="254">
        <f t="shared" si="3"/>
        <v>0</v>
      </c>
      <c r="E31" s="254">
        <f t="shared" si="3"/>
        <v>0</v>
      </c>
      <c r="F31" s="254">
        <f t="shared" si="3"/>
        <v>0</v>
      </c>
      <c r="G31" s="257">
        <f t="shared" ref="G31:G38" si="5">SUM(B31:F31)</f>
        <v>-40416</v>
      </c>
      <c r="H31" s="239" t="str">
        <f t="shared" si="4"/>
        <v>19.06.2026</v>
      </c>
      <c r="P31"/>
      <c r="Q31" s="229"/>
    </row>
    <row r="32" spans="1:18" ht="14.95" thickBot="1">
      <c r="A32" s="219" t="s">
        <v>16</v>
      </c>
      <c r="B32" s="253" t="e">
        <f t="shared" si="3"/>
        <v>#VALUE!</v>
      </c>
      <c r="C32" s="254">
        <f t="shared" si="3"/>
        <v>-63560</v>
      </c>
      <c r="D32" s="254">
        <f t="shared" si="3"/>
        <v>0</v>
      </c>
      <c r="E32" s="254">
        <f t="shared" si="3"/>
        <v>0</v>
      </c>
      <c r="F32" s="254">
        <f t="shared" si="3"/>
        <v>0</v>
      </c>
      <c r="G32" s="257" t="e">
        <f t="shared" si="5"/>
        <v>#VALUE!</v>
      </c>
      <c r="H32" s="239">
        <f>R6</f>
        <v>0</v>
      </c>
      <c r="P32"/>
      <c r="Q32" s="229"/>
    </row>
    <row r="33" spans="1:17" ht="14.95" thickBot="1">
      <c r="A33" s="219" t="s">
        <v>23</v>
      </c>
      <c r="B33" s="253">
        <f t="shared" si="3"/>
        <v>788</v>
      </c>
      <c r="C33" s="254">
        <f t="shared" si="3"/>
        <v>-39171</v>
      </c>
      <c r="D33" s="254">
        <f t="shared" si="3"/>
        <v>0</v>
      </c>
      <c r="E33" s="254">
        <f t="shared" si="3"/>
        <v>0</v>
      </c>
      <c r="F33" s="254">
        <f t="shared" si="3"/>
        <v>0</v>
      </c>
      <c r="G33" s="257">
        <f t="shared" si="5"/>
        <v>-38383</v>
      </c>
      <c r="H33" s="239">
        <f t="shared" si="4"/>
        <v>0</v>
      </c>
      <c r="P33"/>
      <c r="Q33" s="229"/>
    </row>
    <row r="34" spans="1:17" ht="14.95" thickBot="1">
      <c r="A34" s="219" t="s">
        <v>28</v>
      </c>
      <c r="B34" s="253">
        <f>K8-J8</f>
        <v>1371</v>
      </c>
      <c r="C34" s="254">
        <f>L8-K8</f>
        <v>-132396</v>
      </c>
      <c r="D34" s="254">
        <f t="shared" si="3"/>
        <v>0</v>
      </c>
      <c r="E34" s="254">
        <f t="shared" si="3"/>
        <v>0</v>
      </c>
      <c r="F34" s="254">
        <f t="shared" si="3"/>
        <v>0</v>
      </c>
      <c r="G34" s="257">
        <f t="shared" si="5"/>
        <v>-131025</v>
      </c>
      <c r="H34" s="239" t="str">
        <f t="shared" si="4"/>
        <v>30.01.2026</v>
      </c>
      <c r="P34"/>
      <c r="Q34" s="229"/>
    </row>
    <row r="35" spans="1:17" ht="14.95" thickBot="1">
      <c r="A35" s="219" t="s">
        <v>52</v>
      </c>
      <c r="B35" s="253">
        <f>K9-J9</f>
        <v>790</v>
      </c>
      <c r="C35" s="254">
        <f>L9-K9</f>
        <v>-5025</v>
      </c>
      <c r="D35" s="254">
        <f t="shared" si="3"/>
        <v>0</v>
      </c>
      <c r="E35" s="254">
        <f t="shared" si="3"/>
        <v>0</v>
      </c>
      <c r="F35" s="254">
        <f t="shared" si="3"/>
        <v>0</v>
      </c>
      <c r="G35" s="257">
        <f t="shared" si="5"/>
        <v>-4235</v>
      </c>
      <c r="H35" s="239" t="str">
        <f t="shared" si="4"/>
        <v>19.06.2026</v>
      </c>
      <c r="P35"/>
      <c r="Q35" s="229"/>
    </row>
    <row r="36" spans="1:17" ht="14.95" thickBot="1">
      <c r="A36" s="219" t="s">
        <v>41</v>
      </c>
      <c r="B36" s="253">
        <f t="shared" si="3"/>
        <v>1710</v>
      </c>
      <c r="C36" s="254">
        <f t="shared" si="3"/>
        <v>-44121</v>
      </c>
      <c r="D36" s="254">
        <f t="shared" si="3"/>
        <v>0</v>
      </c>
      <c r="E36" s="254">
        <f t="shared" si="3"/>
        <v>0</v>
      </c>
      <c r="F36" s="254">
        <f t="shared" si="3"/>
        <v>0</v>
      </c>
      <c r="G36" s="257">
        <f t="shared" si="5"/>
        <v>-42411</v>
      </c>
      <c r="H36" s="239" t="str">
        <f t="shared" si="4"/>
        <v>19.06.2026</v>
      </c>
      <c r="P36"/>
      <c r="Q36" s="229"/>
    </row>
    <row r="37" spans="1:17" ht="14.95" thickBot="1">
      <c r="A37" s="220" t="s">
        <v>47</v>
      </c>
      <c r="B37" s="253" t="e">
        <f t="shared" si="3"/>
        <v>#VALUE!</v>
      </c>
      <c r="C37" s="254" t="e">
        <f t="shared" si="3"/>
        <v>#VALUE!</v>
      </c>
      <c r="D37" s="254">
        <f t="shared" si="3"/>
        <v>0</v>
      </c>
      <c r="E37" s="254">
        <f t="shared" si="3"/>
        <v>0</v>
      </c>
      <c r="F37" s="254">
        <f t="shared" si="3"/>
        <v>0</v>
      </c>
      <c r="G37" s="257" t="e">
        <f t="shared" si="5"/>
        <v>#VALUE!</v>
      </c>
      <c r="H37" s="239" t="str">
        <f t="shared" si="4"/>
        <v>18.06.2026</v>
      </c>
      <c r="P37"/>
      <c r="Q37" s="229"/>
    </row>
    <row r="38" spans="1:17" ht="14.95" thickBot="1">
      <c r="A38" s="221" t="s">
        <v>168</v>
      </c>
      <c r="B38" s="253">
        <f t="shared" si="3"/>
        <v>1803</v>
      </c>
      <c r="C38" s="254">
        <f t="shared" si="3"/>
        <v>-140251</v>
      </c>
      <c r="D38" s="254">
        <f t="shared" si="3"/>
        <v>0</v>
      </c>
      <c r="E38" s="254">
        <f t="shared" si="3"/>
        <v>0</v>
      </c>
      <c r="F38" s="254">
        <f t="shared" si="3"/>
        <v>0</v>
      </c>
      <c r="G38" s="257">
        <f t="shared" si="5"/>
        <v>-138448</v>
      </c>
      <c r="H38" s="239" t="str">
        <f t="shared" si="4"/>
        <v>09.04.2026</v>
      </c>
      <c r="P38"/>
      <c r="Q38" s="229"/>
    </row>
  </sheetData>
  <autoFilter ref="A2:R2">
    <sortState ref="A3:R12">
      <sortCondition ref="C2"/>
    </sortState>
  </autoFilter>
  <mergeCells count="1">
    <mergeCell ref="A27:E27"/>
  </mergeCells>
  <conditionalFormatting sqref="B29:B38 C30:E30 F30:G38 E31:E38">
    <cfRule type="cellIs" dxfId="47" priority="16" operator="between">
      <formula>1</formula>
      <formula>299</formula>
    </cfRule>
  </conditionalFormatting>
  <conditionalFormatting sqref="B29:G38">
    <cfRule type="cellIs" priority="17" operator="equal">
      <formula>0</formula>
    </cfRule>
  </conditionalFormatting>
  <conditionalFormatting sqref="C30:E30 F30:G38 E31:E38 B29:B38">
    <cfRule type="cellIs" dxfId="46" priority="14" operator="greaterThan">
      <formula>500</formula>
    </cfRule>
    <cfRule type="cellIs" dxfId="45" priority="15" operator="between">
      <formula>300</formula>
      <formula>500</formula>
    </cfRule>
  </conditionalFormatting>
  <conditionalFormatting sqref="C29:G38">
    <cfRule type="cellIs" dxfId="44" priority="11" operator="between">
      <formula>1</formula>
      <formula>600</formula>
    </cfRule>
    <cfRule type="cellIs" dxfId="43" priority="12" operator="between">
      <formula>600</formula>
      <formula>1000</formula>
    </cfRule>
    <cfRule type="cellIs" dxfId="42" priority="13" operator="greaterThan">
      <formula>1000</formula>
    </cfRule>
  </conditionalFormatting>
  <conditionalFormatting sqref="D29:G38">
    <cfRule type="cellIs" dxfId="41" priority="8" operator="greaterThan">
      <formula>1501</formula>
    </cfRule>
    <cfRule type="cellIs" dxfId="40" priority="9" operator="between">
      <formula>1</formula>
      <formula>900</formula>
    </cfRule>
    <cfRule type="cellIs" dxfId="39" priority="10" operator="between">
      <formula>900</formula>
      <formula>1500</formula>
    </cfRule>
  </conditionalFormatting>
  <conditionalFormatting sqref="E30:F38">
    <cfRule type="cellIs" dxfId="38" priority="7" operator="greaterThan">
      <formula>2000</formula>
    </cfRule>
  </conditionalFormatting>
  <conditionalFormatting sqref="G29:G38 E30:F38">
    <cfRule type="cellIs" dxfId="37" priority="5" operator="between">
      <formula>1201</formula>
      <formula>2000</formula>
    </cfRule>
    <cfRule type="cellIs" dxfId="36" priority="6" operator="between">
      <formula>1</formula>
      <formula>1200</formula>
    </cfRule>
  </conditionalFormatting>
  <conditionalFormatting sqref="G29:G38">
    <cfRule type="cellIs" dxfId="35" priority="1" operator="between">
      <formula>1500</formula>
      <formula>2000</formula>
    </cfRule>
    <cfRule type="cellIs" dxfId="34" priority="2" operator="between">
      <formula>1200</formula>
      <formula>2000</formula>
    </cfRule>
    <cfRule type="cellIs" dxfId="33" priority="3" operator="greaterThan">
      <formula>2000</formula>
    </cfRule>
  </conditionalFormatting>
  <conditionalFormatting sqref="H29:H38">
    <cfRule type="cellIs" dxfId="32" priority="4" operator="lessThan">
      <formula>$H$28</formula>
    </cfRule>
  </conditionalFormatting>
  <pageMargins left="0.7" right="0.7" top="0.75" bottom="0.7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view="pageBreakPreview" zoomScaleNormal="90" zoomScaleSheetLayoutView="100" workbookViewId="0">
      <selection activeCell="E30" sqref="E30"/>
    </sheetView>
  </sheetViews>
  <sheetFormatPr defaultColWidth="9.125" defaultRowHeight="14.3"/>
  <cols>
    <col min="1" max="1" width="16.125" customWidth="1"/>
    <col min="2" max="5" width="15.625" customWidth="1"/>
    <col min="6" max="6" width="11.125" customWidth="1"/>
    <col min="7" max="7" width="12.875" customWidth="1"/>
    <col min="8" max="8" width="19.5" bestFit="1" customWidth="1"/>
    <col min="9" max="9" width="13.625" bestFit="1" customWidth="1"/>
    <col min="10" max="10" width="11.125" bestFit="1" customWidth="1"/>
    <col min="11" max="12" width="11.125" customWidth="1"/>
    <col min="13" max="13" width="12.75" customWidth="1"/>
    <col min="14" max="15" width="16.375" customWidth="1"/>
    <col min="16" max="16" width="19.875" style="229" bestFit="1" customWidth="1"/>
    <col min="17" max="17" width="26.875" bestFit="1" customWidth="1"/>
    <col min="18" max="18" width="18.375" bestFit="1" customWidth="1"/>
  </cols>
  <sheetData>
    <row r="1" spans="1:18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228"/>
      <c r="Q1" s="171"/>
      <c r="R1" s="172"/>
    </row>
    <row r="2" spans="1:18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232</v>
      </c>
      <c r="J2" s="193" t="s">
        <v>233</v>
      </c>
      <c r="K2" s="216" t="s">
        <v>234</v>
      </c>
      <c r="L2" s="216" t="s">
        <v>235</v>
      </c>
      <c r="M2" s="216" t="s">
        <v>236</v>
      </c>
      <c r="N2" s="216" t="s">
        <v>237</v>
      </c>
      <c r="O2" s="216" t="s">
        <v>254</v>
      </c>
      <c r="P2" s="236" t="s">
        <v>238</v>
      </c>
      <c r="Q2" s="261" t="s">
        <v>239</v>
      </c>
      <c r="R2" s="216" t="s">
        <v>240</v>
      </c>
    </row>
    <row r="3" spans="1:18">
      <c r="A3" s="198" t="s">
        <v>96</v>
      </c>
      <c r="B3" s="198" t="s">
        <v>279</v>
      </c>
      <c r="C3" s="287" t="s">
        <v>98</v>
      </c>
      <c r="D3" s="198" t="s">
        <v>99</v>
      </c>
      <c r="E3" s="198" t="s">
        <v>34</v>
      </c>
      <c r="F3" s="198" t="s">
        <v>335</v>
      </c>
      <c r="G3" s="198" t="s">
        <v>20</v>
      </c>
      <c r="H3" s="199" t="s">
        <v>355</v>
      </c>
      <c r="I3" s="244">
        <v>46206</v>
      </c>
      <c r="J3" s="207" t="s">
        <v>363</v>
      </c>
      <c r="K3" s="237">
        <v>2843</v>
      </c>
      <c r="L3" s="237">
        <v>3554</v>
      </c>
      <c r="M3" s="207">
        <v>4129</v>
      </c>
      <c r="N3" s="207">
        <v>4645</v>
      </c>
      <c r="O3" s="207"/>
      <c r="P3" s="242" t="s">
        <v>369</v>
      </c>
      <c r="Q3" s="260" t="s">
        <v>259</v>
      </c>
      <c r="R3" s="288" t="s">
        <v>357</v>
      </c>
    </row>
    <row r="4" spans="1:18" s="19" customFormat="1">
      <c r="A4" s="235" t="s">
        <v>14</v>
      </c>
      <c r="B4" s="235" t="s">
        <v>126</v>
      </c>
      <c r="C4" s="287" t="s">
        <v>32</v>
      </c>
      <c r="D4" s="235" t="s">
        <v>24</v>
      </c>
      <c r="E4" s="235" t="s">
        <v>34</v>
      </c>
      <c r="F4" s="267" t="s">
        <v>139</v>
      </c>
      <c r="G4" s="238" t="s">
        <v>20</v>
      </c>
      <c r="H4" s="245" t="s">
        <v>333</v>
      </c>
      <c r="I4" s="244">
        <v>46206</v>
      </c>
      <c r="J4" s="234">
        <v>49282</v>
      </c>
      <c r="K4" s="237" t="s">
        <v>363</v>
      </c>
      <c r="L4" s="237">
        <v>50556</v>
      </c>
      <c r="M4" s="207">
        <v>51200</v>
      </c>
      <c r="N4" s="234">
        <v>51534</v>
      </c>
      <c r="O4" s="234"/>
      <c r="P4" s="242" t="s">
        <v>367</v>
      </c>
      <c r="Q4" s="260" t="s">
        <v>259</v>
      </c>
      <c r="R4" s="241" t="s">
        <v>358</v>
      </c>
    </row>
    <row r="5" spans="1:18" s="19" customFormat="1">
      <c r="A5" s="235" t="s">
        <v>14</v>
      </c>
      <c r="B5" s="235" t="s">
        <v>92</v>
      </c>
      <c r="C5" s="60" t="s">
        <v>49</v>
      </c>
      <c r="D5" s="235" t="s">
        <v>24</v>
      </c>
      <c r="E5" s="235" t="s">
        <v>34</v>
      </c>
      <c r="F5" s="267" t="s">
        <v>93</v>
      </c>
      <c r="G5" s="235" t="s">
        <v>20</v>
      </c>
      <c r="H5" s="245" t="s">
        <v>365</v>
      </c>
      <c r="I5" s="244">
        <v>46206</v>
      </c>
      <c r="J5" s="234">
        <v>41740</v>
      </c>
      <c r="K5" s="237">
        <v>42152</v>
      </c>
      <c r="L5" s="237">
        <v>42898</v>
      </c>
      <c r="M5" s="207">
        <v>43333</v>
      </c>
      <c r="N5" s="289" t="s">
        <v>337</v>
      </c>
      <c r="O5" s="234"/>
      <c r="P5" s="269" t="s">
        <v>369</v>
      </c>
      <c r="Q5" s="260" t="s">
        <v>259</v>
      </c>
      <c r="R5" s="269" t="s">
        <v>357</v>
      </c>
    </row>
    <row r="6" spans="1:18" s="19" customFormat="1">
      <c r="A6" s="238" t="s">
        <v>14</v>
      </c>
      <c r="B6" s="238" t="s">
        <v>15</v>
      </c>
      <c r="C6" s="287" t="s">
        <v>16</v>
      </c>
      <c r="D6" s="238" t="s">
        <v>165</v>
      </c>
      <c r="E6" s="238" t="s">
        <v>165</v>
      </c>
      <c r="F6" s="271" t="s">
        <v>283</v>
      </c>
      <c r="G6" s="238" t="s">
        <v>20</v>
      </c>
      <c r="H6" s="266" t="s">
        <v>316</v>
      </c>
      <c r="I6" s="244">
        <v>46206</v>
      </c>
      <c r="J6" s="234">
        <v>64365</v>
      </c>
      <c r="K6" s="237">
        <v>39988</v>
      </c>
      <c r="L6" s="237">
        <v>66284</v>
      </c>
      <c r="M6" s="207">
        <v>67021</v>
      </c>
      <c r="N6" s="234">
        <v>67589</v>
      </c>
      <c r="O6" s="234"/>
      <c r="P6" s="269" t="s">
        <v>361</v>
      </c>
      <c r="Q6" s="260" t="s">
        <v>259</v>
      </c>
      <c r="R6" s="269"/>
    </row>
    <row r="7" spans="1:18" s="19" customFormat="1">
      <c r="A7" s="235" t="s">
        <v>14</v>
      </c>
      <c r="B7" s="235" t="s">
        <v>126</v>
      </c>
      <c r="C7" s="287" t="s">
        <v>23</v>
      </c>
      <c r="D7" s="235" t="s">
        <v>24</v>
      </c>
      <c r="E7" s="235" t="s">
        <v>34</v>
      </c>
      <c r="F7" s="267" t="s">
        <v>176</v>
      </c>
      <c r="G7" s="238" t="s">
        <v>20</v>
      </c>
      <c r="H7" s="245" t="s">
        <v>318</v>
      </c>
      <c r="I7" s="244">
        <v>46206</v>
      </c>
      <c r="J7" s="234">
        <v>39478</v>
      </c>
      <c r="K7" s="237">
        <v>65358</v>
      </c>
      <c r="L7" s="237">
        <v>40468</v>
      </c>
      <c r="M7" s="207">
        <v>40855</v>
      </c>
      <c r="N7" s="289" t="s">
        <v>368</v>
      </c>
      <c r="O7" s="234"/>
      <c r="P7" s="269" t="s">
        <v>370</v>
      </c>
      <c r="Q7" s="260" t="s">
        <v>259</v>
      </c>
      <c r="R7" s="241"/>
    </row>
    <row r="8" spans="1:18" s="19" customFormat="1">
      <c r="A8" s="235" t="s">
        <v>14</v>
      </c>
      <c r="B8" s="235" t="s">
        <v>27</v>
      </c>
      <c r="C8" s="60" t="s">
        <v>28</v>
      </c>
      <c r="D8" s="235" t="s">
        <v>165</v>
      </c>
      <c r="E8" s="235" t="s">
        <v>165</v>
      </c>
      <c r="F8" s="267" t="s">
        <v>29</v>
      </c>
      <c r="G8" s="238" t="s">
        <v>20</v>
      </c>
      <c r="H8" s="245" t="s">
        <v>364</v>
      </c>
      <c r="I8" s="244">
        <v>46206</v>
      </c>
      <c r="J8" s="234">
        <v>133150</v>
      </c>
      <c r="K8" s="237">
        <v>134028</v>
      </c>
      <c r="L8" s="237">
        <v>134434</v>
      </c>
      <c r="M8" s="207" t="s">
        <v>366</v>
      </c>
      <c r="N8" s="289" t="s">
        <v>336</v>
      </c>
      <c r="O8" s="234"/>
      <c r="P8" s="241" t="s">
        <v>360</v>
      </c>
      <c r="Q8" s="260" t="s">
        <v>259</v>
      </c>
      <c r="R8" s="241" t="s">
        <v>268</v>
      </c>
    </row>
    <row r="9" spans="1:18" s="19" customFormat="1">
      <c r="A9" s="238" t="s">
        <v>14</v>
      </c>
      <c r="B9" s="238" t="s">
        <v>281</v>
      </c>
      <c r="C9" s="287" t="s">
        <v>52</v>
      </c>
      <c r="D9" s="238" t="s">
        <v>99</v>
      </c>
      <c r="E9" s="235" t="s">
        <v>34</v>
      </c>
      <c r="F9" s="271" t="s">
        <v>322</v>
      </c>
      <c r="G9" s="238" t="s">
        <v>20</v>
      </c>
      <c r="H9" s="248" t="s">
        <v>356</v>
      </c>
      <c r="I9" s="244">
        <v>46206</v>
      </c>
      <c r="J9" s="234">
        <v>5485</v>
      </c>
      <c r="K9" s="237">
        <v>6107</v>
      </c>
      <c r="L9" s="237">
        <v>6291</v>
      </c>
      <c r="M9" s="207">
        <v>6664</v>
      </c>
      <c r="N9" s="234">
        <v>7076</v>
      </c>
      <c r="O9" s="234"/>
      <c r="P9" s="274" t="s">
        <v>344</v>
      </c>
      <c r="Q9" s="260" t="s">
        <v>259</v>
      </c>
      <c r="R9" s="274" t="s">
        <v>357</v>
      </c>
    </row>
    <row r="10" spans="1:18" s="19" customFormat="1">
      <c r="A10" s="235" t="s">
        <v>14</v>
      </c>
      <c r="B10" s="235" t="s">
        <v>126</v>
      </c>
      <c r="C10" s="287" t="s">
        <v>41</v>
      </c>
      <c r="D10" s="235" t="s">
        <v>24</v>
      </c>
      <c r="E10" s="235" t="s">
        <v>34</v>
      </c>
      <c r="F10" s="267" t="s">
        <v>166</v>
      </c>
      <c r="G10" s="235" t="s">
        <v>20</v>
      </c>
      <c r="H10" s="245" t="s">
        <v>91</v>
      </c>
      <c r="I10" s="244">
        <v>46206</v>
      </c>
      <c r="J10" s="234">
        <v>45046</v>
      </c>
      <c r="K10" s="237">
        <v>45485</v>
      </c>
      <c r="L10" s="237">
        <v>46247</v>
      </c>
      <c r="M10" s="207">
        <v>46883</v>
      </c>
      <c r="N10" s="234">
        <v>47338</v>
      </c>
      <c r="O10" s="234"/>
      <c r="P10" s="269" t="s">
        <v>369</v>
      </c>
      <c r="Q10" s="260" t="s">
        <v>259</v>
      </c>
      <c r="R10" s="269" t="s">
        <v>357</v>
      </c>
    </row>
    <row r="11" spans="1:18" s="19" customFormat="1">
      <c r="A11" s="275" t="s">
        <v>14</v>
      </c>
      <c r="B11" s="235" t="s">
        <v>126</v>
      </c>
      <c r="C11" s="286" t="s">
        <v>47</v>
      </c>
      <c r="D11" s="275" t="s">
        <v>24</v>
      </c>
      <c r="E11" s="235" t="s">
        <v>34</v>
      </c>
      <c r="F11" s="276" t="s">
        <v>180</v>
      </c>
      <c r="G11" s="275" t="s">
        <v>20</v>
      </c>
      <c r="H11" s="246" t="s">
        <v>327</v>
      </c>
      <c r="I11" s="244">
        <v>46206</v>
      </c>
      <c r="J11" s="234">
        <v>41737</v>
      </c>
      <c r="K11" s="237" t="s">
        <v>337</v>
      </c>
      <c r="L11" s="237" t="s">
        <v>337</v>
      </c>
      <c r="M11" s="207" t="s">
        <v>337</v>
      </c>
      <c r="N11" s="289" t="s">
        <v>337</v>
      </c>
      <c r="O11" s="234"/>
      <c r="P11" s="269" t="s">
        <v>360</v>
      </c>
      <c r="Q11" s="260" t="s">
        <v>259</v>
      </c>
      <c r="R11" s="241" t="s">
        <v>359</v>
      </c>
    </row>
    <row r="12" spans="1:18" s="19" customFormat="1">
      <c r="A12" s="247" t="s">
        <v>14</v>
      </c>
      <c r="B12" s="278" t="s">
        <v>27</v>
      </c>
      <c r="C12" s="285" t="s">
        <v>270</v>
      </c>
      <c r="D12" s="247" t="s">
        <v>165</v>
      </c>
      <c r="E12" s="247" t="s">
        <v>165</v>
      </c>
      <c r="F12" s="279" t="s">
        <v>169</v>
      </c>
      <c r="G12" s="247" t="s">
        <v>20</v>
      </c>
      <c r="H12" s="247" t="s">
        <v>298</v>
      </c>
      <c r="I12" s="244">
        <v>46206</v>
      </c>
      <c r="J12" s="234">
        <v>141141</v>
      </c>
      <c r="K12" s="237">
        <v>142182</v>
      </c>
      <c r="L12" s="237">
        <v>143177</v>
      </c>
      <c r="M12" s="207">
        <v>144056</v>
      </c>
      <c r="N12" s="234">
        <v>144970</v>
      </c>
      <c r="O12" s="234"/>
      <c r="P12" s="241" t="s">
        <v>371</v>
      </c>
      <c r="Q12" s="260" t="s">
        <v>259</v>
      </c>
      <c r="R12" s="241" t="s">
        <v>315</v>
      </c>
    </row>
    <row r="14" spans="1:18">
      <c r="A14" s="169" t="s">
        <v>1</v>
      </c>
      <c r="B14" s="170"/>
      <c r="C14" s="170"/>
      <c r="D14" s="170"/>
      <c r="E14" s="170"/>
      <c r="F14" s="255"/>
      <c r="G14" s="170"/>
      <c r="H14" s="170"/>
      <c r="I14" s="170"/>
      <c r="J14" s="170"/>
      <c r="K14" s="170"/>
      <c r="L14" s="170"/>
      <c r="M14" s="170"/>
      <c r="N14" s="170"/>
      <c r="O14" s="170"/>
      <c r="P14" s="228"/>
      <c r="Q14" s="171"/>
      <c r="R14" s="172"/>
    </row>
    <row r="15" spans="1:18" hidden="1">
      <c r="A15" s="193" t="s">
        <v>2</v>
      </c>
      <c r="B15" s="193" t="s">
        <v>3</v>
      </c>
      <c r="C15" s="193" t="s">
        <v>4</v>
      </c>
      <c r="D15" s="193" t="s">
        <v>5</v>
      </c>
      <c r="E15" s="193" t="s">
        <v>6</v>
      </c>
      <c r="F15" s="193" t="s">
        <v>7</v>
      </c>
      <c r="G15" s="193" t="s">
        <v>8</v>
      </c>
      <c r="H15" s="193" t="s">
        <v>9</v>
      </c>
      <c r="I15" s="193" t="s">
        <v>10</v>
      </c>
      <c r="J15" s="193" t="s">
        <v>247</v>
      </c>
      <c r="K15" s="216" t="s">
        <v>234</v>
      </c>
      <c r="L15" s="216" t="s">
        <v>235</v>
      </c>
      <c r="M15" s="216" t="s">
        <v>236</v>
      </c>
      <c r="N15" s="216" t="s">
        <v>237</v>
      </c>
      <c r="O15" s="216"/>
      <c r="P15" s="230" t="s">
        <v>238</v>
      </c>
      <c r="Q15" s="231" t="s">
        <v>248</v>
      </c>
      <c r="R15" s="232" t="s">
        <v>240</v>
      </c>
    </row>
    <row r="16" spans="1:18" hidden="1">
      <c r="A16" s="198" t="s">
        <v>96</v>
      </c>
      <c r="B16" s="198" t="s">
        <v>97</v>
      </c>
      <c r="C16" s="198" t="s">
        <v>98</v>
      </c>
      <c r="D16" s="198" t="s">
        <v>99</v>
      </c>
      <c r="E16" s="198" t="s">
        <v>18</v>
      </c>
      <c r="F16" s="198" t="s">
        <v>100</v>
      </c>
      <c r="G16" s="198" t="s">
        <v>20</v>
      </c>
      <c r="H16" s="200" t="s">
        <v>101</v>
      </c>
      <c r="I16" s="161">
        <v>45912</v>
      </c>
      <c r="J16" s="201" t="e">
        <f>SUM(K16:N16)</f>
        <v>#VALUE!</v>
      </c>
      <c r="K16" s="207" t="e">
        <f>K3-$J3</f>
        <v>#VALUE!</v>
      </c>
      <c r="L16" s="207" t="e">
        <f t="shared" ref="L16:N25" si="0">L3-$J3</f>
        <v>#VALUE!</v>
      </c>
      <c r="M16" s="207" t="e">
        <f t="shared" si="0"/>
        <v>#VALUE!</v>
      </c>
      <c r="N16" s="207" t="e">
        <f t="shared" si="0"/>
        <v>#VALUE!</v>
      </c>
      <c r="O16" s="207"/>
      <c r="P16" s="141">
        <v>45891</v>
      </c>
      <c r="Q16" s="218"/>
      <c r="R16" s="98"/>
    </row>
    <row r="17" spans="1:18" hidden="1">
      <c r="A17" s="198" t="s">
        <v>14</v>
      </c>
      <c r="B17" s="198" t="s">
        <v>126</v>
      </c>
      <c r="C17" s="198" t="s">
        <v>32</v>
      </c>
      <c r="D17" s="198" t="s">
        <v>24</v>
      </c>
      <c r="E17" s="198" t="s">
        <v>18</v>
      </c>
      <c r="F17" s="198" t="s">
        <v>139</v>
      </c>
      <c r="G17" s="197" t="s">
        <v>20</v>
      </c>
      <c r="H17" s="199" t="s">
        <v>66</v>
      </c>
      <c r="I17" s="161">
        <v>45912</v>
      </c>
      <c r="J17" s="201" t="e">
        <f t="shared" ref="J17:J25" si="1">SUM(K17:N17)</f>
        <v>#VALUE!</v>
      </c>
      <c r="K17" s="207" t="e">
        <f t="shared" ref="K17:K25" si="2">K4-$J4</f>
        <v>#VALUE!</v>
      </c>
      <c r="L17" s="207">
        <f t="shared" si="0"/>
        <v>1274</v>
      </c>
      <c r="M17" s="207">
        <f t="shared" si="0"/>
        <v>1918</v>
      </c>
      <c r="N17" s="207">
        <f t="shared" si="0"/>
        <v>2252</v>
      </c>
      <c r="O17" s="207"/>
      <c r="P17" s="141">
        <v>45896</v>
      </c>
      <c r="Q17" s="218" t="s">
        <v>120</v>
      </c>
      <c r="R17" s="99">
        <v>45921</v>
      </c>
    </row>
    <row r="18" spans="1:18" hidden="1">
      <c r="A18" s="198" t="s">
        <v>14</v>
      </c>
      <c r="B18" s="198" t="s">
        <v>92</v>
      </c>
      <c r="C18" s="198" t="s">
        <v>49</v>
      </c>
      <c r="D18" s="198" t="s">
        <v>24</v>
      </c>
      <c r="E18" s="198" t="s">
        <v>18</v>
      </c>
      <c r="F18" s="198" t="s">
        <v>93</v>
      </c>
      <c r="G18" s="198" t="s">
        <v>20</v>
      </c>
      <c r="H18" s="200" t="s">
        <v>94</v>
      </c>
      <c r="I18" s="161">
        <v>45912</v>
      </c>
      <c r="J18" s="201" t="e">
        <f t="shared" si="1"/>
        <v>#VALUE!</v>
      </c>
      <c r="K18" s="207">
        <f t="shared" si="2"/>
        <v>412</v>
      </c>
      <c r="L18" s="207">
        <f t="shared" si="0"/>
        <v>1158</v>
      </c>
      <c r="M18" s="207">
        <f t="shared" si="0"/>
        <v>1593</v>
      </c>
      <c r="N18" s="207" t="e">
        <f t="shared" si="0"/>
        <v>#VALUE!</v>
      </c>
      <c r="O18" s="207"/>
      <c r="P18" s="141">
        <v>45908</v>
      </c>
      <c r="Q18" s="182" t="s">
        <v>194</v>
      </c>
      <c r="R18" s="99">
        <v>45919</v>
      </c>
    </row>
    <row r="19" spans="1:18" hidden="1">
      <c r="A19" s="197" t="s">
        <v>14</v>
      </c>
      <c r="B19" s="197" t="s">
        <v>15</v>
      </c>
      <c r="C19" s="198" t="s">
        <v>16</v>
      </c>
      <c r="D19" s="197" t="s">
        <v>17</v>
      </c>
      <c r="E19" s="197" t="s">
        <v>18</v>
      </c>
      <c r="F19" s="197" t="s">
        <v>19</v>
      </c>
      <c r="G19" s="197" t="s">
        <v>20</v>
      </c>
      <c r="H19" s="199" t="s">
        <v>21</v>
      </c>
      <c r="I19" s="161">
        <v>45912</v>
      </c>
      <c r="J19" s="201">
        <f t="shared" si="1"/>
        <v>-16578</v>
      </c>
      <c r="K19" s="207">
        <f t="shared" si="2"/>
        <v>-24377</v>
      </c>
      <c r="L19" s="207">
        <f t="shared" si="0"/>
        <v>1919</v>
      </c>
      <c r="M19" s="207">
        <f t="shared" si="0"/>
        <v>2656</v>
      </c>
      <c r="N19" s="207">
        <f t="shared" si="0"/>
        <v>3224</v>
      </c>
      <c r="O19" s="207"/>
      <c r="P19" s="141">
        <v>45916</v>
      </c>
      <c r="Q19" s="182" t="s">
        <v>194</v>
      </c>
      <c r="R19" s="99">
        <v>45924</v>
      </c>
    </row>
    <row r="20" spans="1:18" hidden="1">
      <c r="A20" s="198" t="s">
        <v>14</v>
      </c>
      <c r="B20" s="198" t="s">
        <v>126</v>
      </c>
      <c r="C20" s="198" t="s">
        <v>23</v>
      </c>
      <c r="D20" s="198" t="s">
        <v>24</v>
      </c>
      <c r="E20" s="198" t="s">
        <v>18</v>
      </c>
      <c r="F20" s="198" t="s">
        <v>176</v>
      </c>
      <c r="G20" s="197" t="s">
        <v>20</v>
      </c>
      <c r="H20" s="199" t="s">
        <v>66</v>
      </c>
      <c r="I20" s="161">
        <v>45912</v>
      </c>
      <c r="J20" s="201" t="e">
        <f t="shared" si="1"/>
        <v>#VALUE!</v>
      </c>
      <c r="K20" s="207">
        <f t="shared" si="2"/>
        <v>25880</v>
      </c>
      <c r="L20" s="207">
        <f t="shared" si="0"/>
        <v>990</v>
      </c>
      <c r="M20" s="207">
        <f t="shared" si="0"/>
        <v>1377</v>
      </c>
      <c r="N20" s="207" t="e">
        <f t="shared" si="0"/>
        <v>#VALUE!</v>
      </c>
      <c r="O20" s="207"/>
      <c r="P20" s="141">
        <v>45901</v>
      </c>
      <c r="Q20" s="182" t="s">
        <v>120</v>
      </c>
      <c r="R20" s="99">
        <v>45920</v>
      </c>
    </row>
    <row r="21" spans="1:18" hidden="1">
      <c r="A21" s="198" t="s">
        <v>14</v>
      </c>
      <c r="B21" s="198" t="s">
        <v>27</v>
      </c>
      <c r="C21" s="198" t="s">
        <v>28</v>
      </c>
      <c r="D21" s="198" t="s">
        <v>17</v>
      </c>
      <c r="E21" s="198" t="s">
        <v>18</v>
      </c>
      <c r="F21" s="198" t="s">
        <v>29</v>
      </c>
      <c r="G21" s="197" t="s">
        <v>20</v>
      </c>
      <c r="H21" s="199" t="s">
        <v>30</v>
      </c>
      <c r="I21" s="161">
        <v>45912</v>
      </c>
      <c r="J21" s="201" t="e">
        <f t="shared" si="1"/>
        <v>#VALUE!</v>
      </c>
      <c r="K21" s="207">
        <f>K8-$J8</f>
        <v>878</v>
      </c>
      <c r="L21" s="207">
        <f t="shared" si="0"/>
        <v>1284</v>
      </c>
      <c r="M21" s="207" t="e">
        <f t="shared" si="0"/>
        <v>#VALUE!</v>
      </c>
      <c r="N21" s="207" t="e">
        <f t="shared" si="0"/>
        <v>#VALUE!</v>
      </c>
      <c r="O21" s="207"/>
      <c r="P21" s="141">
        <v>45904</v>
      </c>
      <c r="Q21" s="218" t="s">
        <v>120</v>
      </c>
      <c r="R21" s="99">
        <v>45926</v>
      </c>
    </row>
    <row r="22" spans="1:18" hidden="1">
      <c r="A22" s="197" t="s">
        <v>14</v>
      </c>
      <c r="B22" s="197" t="s">
        <v>126</v>
      </c>
      <c r="C22" s="198" t="s">
        <v>52</v>
      </c>
      <c r="D22" s="197" t="s">
        <v>24</v>
      </c>
      <c r="E22" s="197" t="s">
        <v>18</v>
      </c>
      <c r="F22" s="197" t="s">
        <v>167</v>
      </c>
      <c r="G22" s="197" t="s">
        <v>20</v>
      </c>
      <c r="H22" s="199" t="s">
        <v>132</v>
      </c>
      <c r="I22" s="161">
        <v>45912</v>
      </c>
      <c r="J22" s="201">
        <f t="shared" si="1"/>
        <v>4198</v>
      </c>
      <c r="K22" s="207">
        <f>K9-$J9</f>
        <v>622</v>
      </c>
      <c r="L22" s="207">
        <f t="shared" si="0"/>
        <v>806</v>
      </c>
      <c r="M22" s="207">
        <f t="shared" si="0"/>
        <v>1179</v>
      </c>
      <c r="N22" s="207">
        <f t="shared" si="0"/>
        <v>1591</v>
      </c>
      <c r="O22" s="251"/>
      <c r="P22" s="59">
        <v>45905</v>
      </c>
      <c r="Q22" s="184" t="s">
        <v>120</v>
      </c>
      <c r="R22" s="99">
        <v>45924</v>
      </c>
    </row>
    <row r="23" spans="1:18" hidden="1">
      <c r="A23" s="198" t="s">
        <v>14</v>
      </c>
      <c r="B23" s="198" t="s">
        <v>164</v>
      </c>
      <c r="C23" s="198" t="s">
        <v>41</v>
      </c>
      <c r="D23" s="198" t="s">
        <v>165</v>
      </c>
      <c r="E23" s="198" t="s">
        <v>18</v>
      </c>
      <c r="F23" s="198" t="s">
        <v>166</v>
      </c>
      <c r="G23" s="198" t="s">
        <v>20</v>
      </c>
      <c r="H23" s="200" t="s">
        <v>91</v>
      </c>
      <c r="I23" s="161">
        <v>45912</v>
      </c>
      <c r="J23" s="201">
        <f t="shared" si="1"/>
        <v>5769</v>
      </c>
      <c r="K23" s="207">
        <f t="shared" si="2"/>
        <v>439</v>
      </c>
      <c r="L23" s="207">
        <f t="shared" si="0"/>
        <v>1201</v>
      </c>
      <c r="M23" s="207">
        <f t="shared" si="0"/>
        <v>1837</v>
      </c>
      <c r="N23" s="207">
        <f t="shared" si="0"/>
        <v>2292</v>
      </c>
      <c r="O23" s="207"/>
      <c r="P23" s="141">
        <v>45918</v>
      </c>
      <c r="Q23" s="184" t="s">
        <v>194</v>
      </c>
      <c r="R23" s="99">
        <v>45923</v>
      </c>
    </row>
    <row r="24" spans="1:18" hidden="1">
      <c r="A24" s="209" t="s">
        <v>14</v>
      </c>
      <c r="B24" s="209" t="s">
        <v>31</v>
      </c>
      <c r="C24" s="209" t="s">
        <v>47</v>
      </c>
      <c r="D24" s="209" t="s">
        <v>24</v>
      </c>
      <c r="E24" s="209" t="s">
        <v>18</v>
      </c>
      <c r="F24" s="209" t="s">
        <v>180</v>
      </c>
      <c r="G24" s="209" t="s">
        <v>20</v>
      </c>
      <c r="H24" s="217" t="s">
        <v>163</v>
      </c>
      <c r="I24" s="161">
        <v>45912</v>
      </c>
      <c r="J24" s="201" t="e">
        <f t="shared" si="1"/>
        <v>#VALUE!</v>
      </c>
      <c r="K24" s="207" t="e">
        <f t="shared" si="2"/>
        <v>#VALUE!</v>
      </c>
      <c r="L24" s="207" t="e">
        <f t="shared" si="0"/>
        <v>#VALUE!</v>
      </c>
      <c r="M24" s="207" t="e">
        <f t="shared" si="0"/>
        <v>#VALUE!</v>
      </c>
      <c r="N24" s="207" t="e">
        <f t="shared" si="0"/>
        <v>#VALUE!</v>
      </c>
      <c r="O24" s="207"/>
      <c r="P24" s="141">
        <v>45901</v>
      </c>
      <c r="Q24" s="184" t="s">
        <v>120</v>
      </c>
      <c r="R24" s="99">
        <v>45922</v>
      </c>
    </row>
    <row r="25" spans="1:18" hidden="1">
      <c r="A25" s="202" t="s">
        <v>14</v>
      </c>
      <c r="B25" s="204" t="s">
        <v>31</v>
      </c>
      <c r="C25" s="204" t="s">
        <v>168</v>
      </c>
      <c r="D25" s="202" t="s">
        <v>165</v>
      </c>
      <c r="E25" s="202" t="s">
        <v>18</v>
      </c>
      <c r="F25" s="202" t="s">
        <v>169</v>
      </c>
      <c r="G25" s="202" t="s">
        <v>20</v>
      </c>
      <c r="H25" s="202" t="s">
        <v>91</v>
      </c>
      <c r="I25" s="161">
        <v>45912</v>
      </c>
      <c r="J25" s="201">
        <f t="shared" si="1"/>
        <v>9821</v>
      </c>
      <c r="K25" s="207">
        <f t="shared" si="2"/>
        <v>1041</v>
      </c>
      <c r="L25" s="207">
        <f t="shared" si="0"/>
        <v>2036</v>
      </c>
      <c r="M25" s="207">
        <f t="shared" si="0"/>
        <v>2915</v>
      </c>
      <c r="N25" s="207">
        <f t="shared" si="0"/>
        <v>3829</v>
      </c>
      <c r="O25" s="207"/>
      <c r="P25" s="141">
        <v>45905</v>
      </c>
      <c r="Q25" s="184" t="s">
        <v>120</v>
      </c>
      <c r="R25" s="99">
        <v>45922</v>
      </c>
    </row>
    <row r="26" spans="1:18" ht="14.95" thickBot="1"/>
    <row r="27" spans="1:18" ht="28.55">
      <c r="A27" s="319" t="s">
        <v>249</v>
      </c>
      <c r="B27" s="320"/>
      <c r="C27" s="320"/>
      <c r="D27" s="320"/>
      <c r="E27" s="320"/>
      <c r="F27" s="226"/>
      <c r="G27" s="250" t="s">
        <v>238</v>
      </c>
      <c r="H27" s="259" t="s">
        <v>257</v>
      </c>
    </row>
    <row r="28" spans="1:18" ht="14.95" thickBot="1">
      <c r="A28" s="227" t="s">
        <v>250</v>
      </c>
      <c r="B28" s="222" t="s">
        <v>234</v>
      </c>
      <c r="C28" s="222" t="s">
        <v>235</v>
      </c>
      <c r="D28" s="222" t="s">
        <v>236</v>
      </c>
      <c r="E28" s="223" t="s">
        <v>237</v>
      </c>
      <c r="F28" s="223" t="s">
        <v>254</v>
      </c>
      <c r="G28" s="224" t="s">
        <v>251</v>
      </c>
      <c r="H28" s="225"/>
      <c r="P28"/>
      <c r="Q28" s="229"/>
    </row>
    <row r="29" spans="1:18" ht="14.95" thickBot="1">
      <c r="A29" s="252" t="s">
        <v>98</v>
      </c>
      <c r="B29" s="253" t="e">
        <f>K3-J3</f>
        <v>#VALUE!</v>
      </c>
      <c r="C29" s="254">
        <f>L3-K3</f>
        <v>711</v>
      </c>
      <c r="D29" s="254">
        <f>M3-L3</f>
        <v>575</v>
      </c>
      <c r="E29" s="254">
        <f>N3-M3</f>
        <v>516</v>
      </c>
      <c r="F29" s="254">
        <f>O3-N3</f>
        <v>-4645</v>
      </c>
      <c r="G29" s="257" t="e">
        <f>SUM(B29:F29)</f>
        <v>#VALUE!</v>
      </c>
      <c r="H29" s="239" t="str">
        <f>R3</f>
        <v>19.06.2026</v>
      </c>
      <c r="P29"/>
      <c r="Q29" s="229"/>
    </row>
    <row r="30" spans="1:18" ht="14.95" thickBot="1">
      <c r="A30" s="219" t="s">
        <v>32</v>
      </c>
      <c r="B30" s="253" t="e">
        <f t="shared" ref="B30:F38" si="3">K4-J4</f>
        <v>#VALUE!</v>
      </c>
      <c r="C30" s="254" t="e">
        <f t="shared" si="3"/>
        <v>#VALUE!</v>
      </c>
      <c r="D30" s="254">
        <f t="shared" si="3"/>
        <v>644</v>
      </c>
      <c r="E30" s="254">
        <f t="shared" si="3"/>
        <v>334</v>
      </c>
      <c r="F30" s="254">
        <f t="shared" si="3"/>
        <v>-51534</v>
      </c>
      <c r="G30" s="257" t="e">
        <f>SUM(B30:F30)</f>
        <v>#VALUE!</v>
      </c>
      <c r="H30" s="239" t="str">
        <f t="shared" ref="H30:H38" si="4">R4</f>
        <v>17.06.2026</v>
      </c>
      <c r="P30"/>
      <c r="Q30" s="229"/>
    </row>
    <row r="31" spans="1:18" ht="14.95" thickBot="1">
      <c r="A31" s="219" t="s">
        <v>49</v>
      </c>
      <c r="B31" s="253">
        <f t="shared" si="3"/>
        <v>412</v>
      </c>
      <c r="C31" s="254">
        <f t="shared" si="3"/>
        <v>746</v>
      </c>
      <c r="D31" s="254">
        <f t="shared" si="3"/>
        <v>435</v>
      </c>
      <c r="E31" s="254" t="e">
        <f t="shared" si="3"/>
        <v>#VALUE!</v>
      </c>
      <c r="F31" s="254" t="e">
        <f t="shared" si="3"/>
        <v>#VALUE!</v>
      </c>
      <c r="G31" s="257" t="e">
        <f t="shared" ref="G31:G38" si="5">SUM(B31:F31)</f>
        <v>#VALUE!</v>
      </c>
      <c r="H31" s="239" t="str">
        <f t="shared" si="4"/>
        <v>19.06.2026</v>
      </c>
      <c r="P31"/>
      <c r="Q31" s="229"/>
    </row>
    <row r="32" spans="1:18" ht="14.95" thickBot="1">
      <c r="A32" s="219" t="s">
        <v>16</v>
      </c>
      <c r="B32" s="253">
        <f t="shared" si="3"/>
        <v>-24377</v>
      </c>
      <c r="C32" s="254">
        <f t="shared" si="3"/>
        <v>26296</v>
      </c>
      <c r="D32" s="254">
        <f t="shared" si="3"/>
        <v>737</v>
      </c>
      <c r="E32" s="254">
        <f t="shared" si="3"/>
        <v>568</v>
      </c>
      <c r="F32" s="254">
        <f t="shared" si="3"/>
        <v>-67589</v>
      </c>
      <c r="G32" s="257">
        <f t="shared" si="5"/>
        <v>-64365</v>
      </c>
      <c r="H32" s="239">
        <f>R6</f>
        <v>0</v>
      </c>
      <c r="P32"/>
      <c r="Q32" s="229"/>
    </row>
    <row r="33" spans="1:17" ht="14.95" thickBot="1">
      <c r="A33" s="219" t="s">
        <v>23</v>
      </c>
      <c r="B33" s="253">
        <f t="shared" si="3"/>
        <v>25880</v>
      </c>
      <c r="C33" s="254">
        <f t="shared" si="3"/>
        <v>-24890</v>
      </c>
      <c r="D33" s="254">
        <f t="shared" si="3"/>
        <v>387</v>
      </c>
      <c r="E33" s="254" t="e">
        <f t="shared" si="3"/>
        <v>#VALUE!</v>
      </c>
      <c r="F33" s="254" t="e">
        <f t="shared" si="3"/>
        <v>#VALUE!</v>
      </c>
      <c r="G33" s="257" t="e">
        <f t="shared" si="5"/>
        <v>#VALUE!</v>
      </c>
      <c r="H33" s="239">
        <f t="shared" si="4"/>
        <v>0</v>
      </c>
      <c r="P33"/>
      <c r="Q33" s="229"/>
    </row>
    <row r="34" spans="1:17" ht="14.95" thickBot="1">
      <c r="A34" s="219" t="s">
        <v>28</v>
      </c>
      <c r="B34" s="253">
        <f>K8-J8</f>
        <v>878</v>
      </c>
      <c r="C34" s="254">
        <f>L8-K8</f>
        <v>406</v>
      </c>
      <c r="D34" s="254" t="e">
        <f t="shared" si="3"/>
        <v>#VALUE!</v>
      </c>
      <c r="E34" s="254" t="e">
        <f t="shared" si="3"/>
        <v>#VALUE!</v>
      </c>
      <c r="F34" s="254" t="e">
        <f t="shared" si="3"/>
        <v>#VALUE!</v>
      </c>
      <c r="G34" s="257" t="e">
        <f t="shared" si="5"/>
        <v>#VALUE!</v>
      </c>
      <c r="H34" s="239" t="str">
        <f t="shared" si="4"/>
        <v>30.01.2026</v>
      </c>
      <c r="P34"/>
      <c r="Q34" s="229"/>
    </row>
    <row r="35" spans="1:17" ht="14.95" thickBot="1">
      <c r="A35" s="219" t="s">
        <v>52</v>
      </c>
      <c r="B35" s="253">
        <f>K9-J9</f>
        <v>622</v>
      </c>
      <c r="C35" s="254">
        <f>L9-K9</f>
        <v>184</v>
      </c>
      <c r="D35" s="254">
        <f t="shared" si="3"/>
        <v>373</v>
      </c>
      <c r="E35" s="254">
        <f t="shared" si="3"/>
        <v>412</v>
      </c>
      <c r="F35" s="254">
        <f t="shared" si="3"/>
        <v>-7076</v>
      </c>
      <c r="G35" s="257">
        <f t="shared" si="5"/>
        <v>-5485</v>
      </c>
      <c r="H35" s="239" t="str">
        <f t="shared" si="4"/>
        <v>19.06.2026</v>
      </c>
      <c r="P35"/>
      <c r="Q35" s="229"/>
    </row>
    <row r="36" spans="1:17" ht="14.95" thickBot="1">
      <c r="A36" s="219" t="s">
        <v>41</v>
      </c>
      <c r="B36" s="253">
        <f t="shared" si="3"/>
        <v>439</v>
      </c>
      <c r="C36" s="254">
        <f t="shared" si="3"/>
        <v>762</v>
      </c>
      <c r="D36" s="254">
        <f t="shared" si="3"/>
        <v>636</v>
      </c>
      <c r="E36" s="254">
        <f t="shared" si="3"/>
        <v>455</v>
      </c>
      <c r="F36" s="254">
        <f t="shared" si="3"/>
        <v>-47338</v>
      </c>
      <c r="G36" s="257">
        <f t="shared" si="5"/>
        <v>-45046</v>
      </c>
      <c r="H36" s="239" t="str">
        <f t="shared" si="4"/>
        <v>19.06.2026</v>
      </c>
      <c r="P36"/>
      <c r="Q36" s="229"/>
    </row>
    <row r="37" spans="1:17" ht="14.95" thickBot="1">
      <c r="A37" s="220" t="s">
        <v>47</v>
      </c>
      <c r="B37" s="253" t="e">
        <f t="shared" si="3"/>
        <v>#VALUE!</v>
      </c>
      <c r="C37" s="254" t="e">
        <f t="shared" si="3"/>
        <v>#VALUE!</v>
      </c>
      <c r="D37" s="254" t="e">
        <f t="shared" si="3"/>
        <v>#VALUE!</v>
      </c>
      <c r="E37" s="254" t="e">
        <f t="shared" si="3"/>
        <v>#VALUE!</v>
      </c>
      <c r="F37" s="254" t="e">
        <f t="shared" si="3"/>
        <v>#VALUE!</v>
      </c>
      <c r="G37" s="257" t="e">
        <f t="shared" si="5"/>
        <v>#VALUE!</v>
      </c>
      <c r="H37" s="239" t="str">
        <f t="shared" si="4"/>
        <v>18.06.2026</v>
      </c>
      <c r="P37"/>
      <c r="Q37" s="229"/>
    </row>
    <row r="38" spans="1:17" ht="14.95" thickBot="1">
      <c r="A38" s="221" t="s">
        <v>168</v>
      </c>
      <c r="B38" s="253">
        <f t="shared" si="3"/>
        <v>1041</v>
      </c>
      <c r="C38" s="254">
        <f t="shared" si="3"/>
        <v>995</v>
      </c>
      <c r="D38" s="254">
        <f t="shared" si="3"/>
        <v>879</v>
      </c>
      <c r="E38" s="254">
        <f t="shared" si="3"/>
        <v>914</v>
      </c>
      <c r="F38" s="254">
        <f t="shared" si="3"/>
        <v>-144970</v>
      </c>
      <c r="G38" s="257">
        <f t="shared" si="5"/>
        <v>-141141</v>
      </c>
      <c r="H38" s="239" t="str">
        <f t="shared" si="4"/>
        <v>09.04.2026</v>
      </c>
      <c r="P38"/>
      <c r="Q38" s="229"/>
    </row>
  </sheetData>
  <autoFilter ref="A2:R2">
    <sortState ref="A3:R12">
      <sortCondition ref="C2"/>
    </sortState>
  </autoFilter>
  <mergeCells count="1">
    <mergeCell ref="A27:E27"/>
  </mergeCells>
  <conditionalFormatting sqref="B29:B38 C30:E30 F30:G38 E31:E38">
    <cfRule type="cellIs" dxfId="31" priority="16" operator="between">
      <formula>1</formula>
      <formula>299</formula>
    </cfRule>
  </conditionalFormatting>
  <conditionalFormatting sqref="B29:G38">
    <cfRule type="cellIs" priority="17" operator="equal">
      <formula>0</formula>
    </cfRule>
  </conditionalFormatting>
  <conditionalFormatting sqref="C30:E30 F30:G38 E31:E38 B29:B38">
    <cfRule type="cellIs" dxfId="30" priority="14" operator="greaterThan">
      <formula>500</formula>
    </cfRule>
    <cfRule type="cellIs" dxfId="29" priority="15" operator="between">
      <formula>300</formula>
      <formula>500</formula>
    </cfRule>
  </conditionalFormatting>
  <conditionalFormatting sqref="C29:G38">
    <cfRule type="cellIs" dxfId="28" priority="11" operator="between">
      <formula>1</formula>
      <formula>600</formula>
    </cfRule>
    <cfRule type="cellIs" dxfId="27" priority="12" operator="between">
      <formula>600</formula>
      <formula>1000</formula>
    </cfRule>
    <cfRule type="cellIs" dxfId="26" priority="13" operator="greaterThan">
      <formula>1000</formula>
    </cfRule>
  </conditionalFormatting>
  <conditionalFormatting sqref="D29:G38">
    <cfRule type="cellIs" dxfId="25" priority="8" operator="greaterThan">
      <formula>1501</formula>
    </cfRule>
    <cfRule type="cellIs" dxfId="24" priority="9" operator="between">
      <formula>1</formula>
      <formula>900</formula>
    </cfRule>
    <cfRule type="cellIs" dxfId="23" priority="10" operator="between">
      <formula>900</formula>
      <formula>1500</formula>
    </cfRule>
  </conditionalFormatting>
  <conditionalFormatting sqref="E30:F38">
    <cfRule type="cellIs" dxfId="22" priority="7" operator="greaterThan">
      <formula>2000</formula>
    </cfRule>
  </conditionalFormatting>
  <conditionalFormatting sqref="G29:G38 E30:F38">
    <cfRule type="cellIs" dxfId="21" priority="5" operator="between">
      <formula>1201</formula>
      <formula>2000</formula>
    </cfRule>
    <cfRule type="cellIs" dxfId="20" priority="6" operator="between">
      <formula>1</formula>
      <formula>1200</formula>
    </cfRule>
  </conditionalFormatting>
  <conditionalFormatting sqref="G29:G38">
    <cfRule type="cellIs" dxfId="19" priority="1" operator="between">
      <formula>1500</formula>
      <formula>2000</formula>
    </cfRule>
    <cfRule type="cellIs" dxfId="18" priority="2" operator="between">
      <formula>1200</formula>
      <formula>2000</formula>
    </cfRule>
    <cfRule type="cellIs" dxfId="17" priority="3" operator="greaterThan">
      <formula>2000</formula>
    </cfRule>
  </conditionalFormatting>
  <conditionalFormatting sqref="H29:H38">
    <cfRule type="cellIs" dxfId="16" priority="4" operator="lessThan">
      <formula>$H$28</formula>
    </cfRule>
  </conditionalFormatting>
  <pageMargins left="0.7" right="0.7" top="0.75" bottom="0.7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view="pageBreakPreview" zoomScaleNormal="90" zoomScaleSheetLayoutView="100" workbookViewId="0">
      <selection activeCell="E42" sqref="E42"/>
    </sheetView>
  </sheetViews>
  <sheetFormatPr defaultColWidth="9.125" defaultRowHeight="14.3"/>
  <cols>
    <col min="1" max="1" width="16.125" customWidth="1"/>
    <col min="2" max="5" width="15.625" customWidth="1"/>
    <col min="6" max="6" width="11.125" customWidth="1"/>
    <col min="7" max="7" width="12.875" customWidth="1"/>
    <col min="8" max="8" width="19.5" bestFit="1" customWidth="1"/>
    <col min="9" max="9" width="13.625" bestFit="1" customWidth="1"/>
    <col min="10" max="10" width="11.125" bestFit="1" customWidth="1"/>
    <col min="11" max="12" width="11.125" customWidth="1"/>
    <col min="13" max="13" width="12.75" customWidth="1"/>
    <col min="14" max="15" width="16.375" customWidth="1"/>
    <col min="16" max="16" width="19.875" style="229" bestFit="1" customWidth="1"/>
    <col min="17" max="17" width="26.875" bestFit="1" customWidth="1"/>
    <col min="18" max="18" width="18.375" bestFit="1" customWidth="1"/>
  </cols>
  <sheetData>
    <row r="1" spans="1:18">
      <c r="A1" s="169" t="s">
        <v>1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228"/>
      <c r="Q1" s="171"/>
      <c r="R1" s="172"/>
    </row>
    <row r="2" spans="1:18">
      <c r="A2" s="193" t="s">
        <v>2</v>
      </c>
      <c r="B2" s="193" t="s">
        <v>3</v>
      </c>
      <c r="C2" s="193" t="s">
        <v>4</v>
      </c>
      <c r="D2" s="193" t="s">
        <v>5</v>
      </c>
      <c r="E2" s="193" t="s">
        <v>6</v>
      </c>
      <c r="F2" s="193" t="s">
        <v>7</v>
      </c>
      <c r="G2" s="193" t="s">
        <v>8</v>
      </c>
      <c r="H2" s="193" t="s">
        <v>9</v>
      </c>
      <c r="I2" s="193" t="s">
        <v>232</v>
      </c>
      <c r="J2" s="193" t="s">
        <v>233</v>
      </c>
      <c r="K2" s="216" t="s">
        <v>234</v>
      </c>
      <c r="L2" s="216" t="s">
        <v>235</v>
      </c>
      <c r="M2" s="216" t="s">
        <v>236</v>
      </c>
      <c r="N2" s="216" t="s">
        <v>237</v>
      </c>
      <c r="O2" s="216" t="s">
        <v>254</v>
      </c>
      <c r="P2" s="236" t="s">
        <v>238</v>
      </c>
      <c r="Q2" s="261" t="s">
        <v>239</v>
      </c>
      <c r="R2" s="216" t="s">
        <v>240</v>
      </c>
    </row>
    <row r="3" spans="1:18">
      <c r="A3" s="198" t="s">
        <v>96</v>
      </c>
      <c r="B3" s="198" t="s">
        <v>334</v>
      </c>
      <c r="C3" s="287" t="s">
        <v>98</v>
      </c>
      <c r="D3" s="198" t="s">
        <v>99</v>
      </c>
      <c r="E3" s="198" t="s">
        <v>34</v>
      </c>
      <c r="F3" s="198" t="s">
        <v>335</v>
      </c>
      <c r="G3" s="198" t="s">
        <v>20</v>
      </c>
      <c r="H3" s="199" t="s">
        <v>355</v>
      </c>
      <c r="I3" s="244">
        <v>46241</v>
      </c>
      <c r="J3" s="207">
        <v>4992</v>
      </c>
      <c r="K3" s="237">
        <v>5506</v>
      </c>
      <c r="L3" s="237" t="s">
        <v>376</v>
      </c>
      <c r="M3" s="207">
        <v>6947</v>
      </c>
      <c r="N3" s="207"/>
      <c r="O3" s="207"/>
      <c r="P3" s="242" t="s">
        <v>372</v>
      </c>
      <c r="Q3" s="260" t="s">
        <v>259</v>
      </c>
      <c r="R3" s="288" t="s">
        <v>357</v>
      </c>
    </row>
    <row r="4" spans="1:18" s="19" customFormat="1">
      <c r="A4" s="235" t="s">
        <v>14</v>
      </c>
      <c r="B4" s="235" t="s">
        <v>126</v>
      </c>
      <c r="C4" s="287" t="s">
        <v>32</v>
      </c>
      <c r="D4" s="235" t="s">
        <v>24</v>
      </c>
      <c r="E4" s="235" t="s">
        <v>34</v>
      </c>
      <c r="F4" s="267" t="s">
        <v>139</v>
      </c>
      <c r="G4" s="238" t="s">
        <v>20</v>
      </c>
      <c r="H4" s="245" t="s">
        <v>333</v>
      </c>
      <c r="I4" s="244">
        <v>46241</v>
      </c>
      <c r="J4" s="234">
        <v>51951</v>
      </c>
      <c r="K4" s="237">
        <v>52370</v>
      </c>
      <c r="L4" s="237">
        <v>52602</v>
      </c>
      <c r="M4" s="207">
        <v>52845</v>
      </c>
      <c r="N4" s="234"/>
      <c r="O4" s="234"/>
      <c r="P4" s="242" t="s">
        <v>372</v>
      </c>
      <c r="Q4" s="260" t="s">
        <v>259</v>
      </c>
      <c r="R4" s="241" t="s">
        <v>358</v>
      </c>
    </row>
    <row r="5" spans="1:18" s="19" customFormat="1">
      <c r="A5" s="235" t="s">
        <v>14</v>
      </c>
      <c r="B5" s="235" t="s">
        <v>92</v>
      </c>
      <c r="C5" s="60" t="s">
        <v>49</v>
      </c>
      <c r="D5" s="235" t="s">
        <v>24</v>
      </c>
      <c r="E5" s="235" t="s">
        <v>34</v>
      </c>
      <c r="F5" s="267" t="s">
        <v>93</v>
      </c>
      <c r="G5" s="235" t="s">
        <v>20</v>
      </c>
      <c r="H5" s="245" t="s">
        <v>365</v>
      </c>
      <c r="I5" s="244">
        <v>46241</v>
      </c>
      <c r="J5" s="234">
        <v>43927</v>
      </c>
      <c r="K5" s="237">
        <v>44301</v>
      </c>
      <c r="L5" s="237">
        <v>44946</v>
      </c>
      <c r="M5" s="207">
        <v>45282</v>
      </c>
      <c r="N5" s="289"/>
      <c r="O5" s="234"/>
      <c r="P5" s="269" t="s">
        <v>373</v>
      </c>
      <c r="Q5" s="260" t="s">
        <v>259</v>
      </c>
      <c r="R5" s="269" t="s">
        <v>357</v>
      </c>
    </row>
    <row r="6" spans="1:18" s="19" customFormat="1">
      <c r="A6" s="238" t="s">
        <v>14</v>
      </c>
      <c r="B6" s="238" t="s">
        <v>15</v>
      </c>
      <c r="C6" s="287" t="s">
        <v>16</v>
      </c>
      <c r="D6" s="238" t="s">
        <v>165</v>
      </c>
      <c r="E6" s="238" t="s">
        <v>165</v>
      </c>
      <c r="F6" s="271" t="s">
        <v>283</v>
      </c>
      <c r="G6" s="238" t="s">
        <v>20</v>
      </c>
      <c r="H6" s="266" t="s">
        <v>316</v>
      </c>
      <c r="I6" s="244">
        <v>46241</v>
      </c>
      <c r="J6" s="234">
        <v>68189</v>
      </c>
      <c r="K6" s="237">
        <v>68132</v>
      </c>
      <c r="L6" s="237">
        <v>69245</v>
      </c>
      <c r="M6" s="207">
        <v>69611</v>
      </c>
      <c r="N6" s="234"/>
      <c r="O6" s="234"/>
      <c r="P6" s="269" t="s">
        <v>373</v>
      </c>
      <c r="Q6" s="260" t="s">
        <v>259</v>
      </c>
      <c r="R6" s="269"/>
    </row>
    <row r="7" spans="1:18" s="19" customFormat="1">
      <c r="A7" s="235" t="s">
        <v>14</v>
      </c>
      <c r="B7" s="235" t="s">
        <v>126</v>
      </c>
      <c r="C7" s="287" t="s">
        <v>23</v>
      </c>
      <c r="D7" s="235" t="s">
        <v>24</v>
      </c>
      <c r="E7" s="235" t="s">
        <v>34</v>
      </c>
      <c r="F7" s="267" t="s">
        <v>176</v>
      </c>
      <c r="G7" s="238" t="s">
        <v>20</v>
      </c>
      <c r="H7" s="245" t="s">
        <v>318</v>
      </c>
      <c r="I7" s="244">
        <v>46241</v>
      </c>
      <c r="J7" s="234">
        <v>41324</v>
      </c>
      <c r="K7" s="237">
        <v>41642</v>
      </c>
      <c r="L7" s="237">
        <v>41990</v>
      </c>
      <c r="M7" s="207">
        <v>42414</v>
      </c>
      <c r="N7" s="289"/>
      <c r="O7" s="234"/>
      <c r="P7" s="269" t="s">
        <v>373</v>
      </c>
      <c r="Q7" s="260" t="s">
        <v>259</v>
      </c>
      <c r="R7" s="241"/>
    </row>
    <row r="8" spans="1:18" s="19" customFormat="1">
      <c r="A8" s="235" t="s">
        <v>14</v>
      </c>
      <c r="B8" s="235" t="s">
        <v>27</v>
      </c>
      <c r="C8" s="60" t="s">
        <v>28</v>
      </c>
      <c r="D8" s="235" t="s">
        <v>165</v>
      </c>
      <c r="E8" s="235" t="s">
        <v>165</v>
      </c>
      <c r="F8" s="267" t="s">
        <v>374</v>
      </c>
      <c r="G8" s="238" t="s">
        <v>20</v>
      </c>
      <c r="H8" s="245" t="s">
        <v>354</v>
      </c>
      <c r="I8" s="244">
        <v>46241</v>
      </c>
      <c r="J8" s="234">
        <v>3496</v>
      </c>
      <c r="K8" s="237">
        <v>3979</v>
      </c>
      <c r="L8" s="237">
        <v>4353</v>
      </c>
      <c r="M8" s="207">
        <v>4825</v>
      </c>
      <c r="N8" s="289"/>
      <c r="O8" s="234"/>
      <c r="P8" s="241" t="s">
        <v>360</v>
      </c>
      <c r="Q8" s="260" t="s">
        <v>259</v>
      </c>
      <c r="R8" s="241" t="s">
        <v>268</v>
      </c>
    </row>
    <row r="9" spans="1:18" s="19" customFormat="1">
      <c r="A9" s="238" t="s">
        <v>14</v>
      </c>
      <c r="B9" s="238" t="s">
        <v>281</v>
      </c>
      <c r="C9" s="287" t="s">
        <v>52</v>
      </c>
      <c r="D9" s="238" t="s">
        <v>99</v>
      </c>
      <c r="E9" s="235" t="s">
        <v>34</v>
      </c>
      <c r="F9" s="271" t="s">
        <v>322</v>
      </c>
      <c r="G9" s="238" t="s">
        <v>20</v>
      </c>
      <c r="H9" s="248" t="s">
        <v>356</v>
      </c>
      <c r="I9" s="244">
        <v>46241</v>
      </c>
      <c r="J9" s="234">
        <v>7168</v>
      </c>
      <c r="K9" s="237">
        <v>7505</v>
      </c>
      <c r="L9" s="237">
        <v>8095</v>
      </c>
      <c r="M9" s="207">
        <v>8405</v>
      </c>
      <c r="N9" s="234"/>
      <c r="O9" s="234"/>
      <c r="P9" s="274" t="s">
        <v>344</v>
      </c>
      <c r="Q9" s="260" t="s">
        <v>259</v>
      </c>
      <c r="R9" s="274" t="s">
        <v>357</v>
      </c>
    </row>
    <row r="10" spans="1:18" s="19" customFormat="1">
      <c r="A10" s="235" t="s">
        <v>14</v>
      </c>
      <c r="B10" s="235" t="s">
        <v>126</v>
      </c>
      <c r="C10" s="287" t="s">
        <v>41</v>
      </c>
      <c r="D10" s="235" t="s">
        <v>24</v>
      </c>
      <c r="E10" s="235" t="s">
        <v>34</v>
      </c>
      <c r="F10" s="267" t="s">
        <v>166</v>
      </c>
      <c r="G10" s="235" t="s">
        <v>20</v>
      </c>
      <c r="H10" s="245" t="s">
        <v>91</v>
      </c>
      <c r="I10" s="244">
        <v>46241</v>
      </c>
      <c r="J10" s="19" t="s">
        <v>363</v>
      </c>
      <c r="K10" s="237">
        <v>47776</v>
      </c>
      <c r="L10" s="237">
        <v>48258</v>
      </c>
      <c r="M10" s="207">
        <v>48486</v>
      </c>
      <c r="N10" s="234"/>
      <c r="O10" s="234"/>
      <c r="P10" s="269" t="s">
        <v>369</v>
      </c>
      <c r="Q10" s="260" t="s">
        <v>259</v>
      </c>
      <c r="R10" s="269" t="s">
        <v>357</v>
      </c>
    </row>
    <row r="11" spans="1:18" s="19" customFormat="1">
      <c r="A11" s="247" t="s">
        <v>14</v>
      </c>
      <c r="B11" s="278" t="s">
        <v>27</v>
      </c>
      <c r="C11" s="285" t="s">
        <v>270</v>
      </c>
      <c r="D11" s="247" t="s">
        <v>165</v>
      </c>
      <c r="E11" s="247" t="s">
        <v>165</v>
      </c>
      <c r="F11" s="279" t="s">
        <v>169</v>
      </c>
      <c r="G11" s="247" t="s">
        <v>20</v>
      </c>
      <c r="H11" s="247" t="s">
        <v>298</v>
      </c>
      <c r="I11" s="244">
        <v>46241</v>
      </c>
      <c r="J11" s="234">
        <v>145668</v>
      </c>
      <c r="K11" s="237">
        <v>146769</v>
      </c>
      <c r="L11" s="237">
        <v>147556</v>
      </c>
      <c r="M11" s="207">
        <v>148403</v>
      </c>
      <c r="N11" s="234"/>
      <c r="O11" s="234"/>
      <c r="P11" s="241" t="s">
        <v>375</v>
      </c>
      <c r="Q11" s="260" t="s">
        <v>259</v>
      </c>
      <c r="R11" s="241" t="s">
        <v>315</v>
      </c>
    </row>
    <row r="13" spans="1:18">
      <c r="A13" s="169" t="s">
        <v>1</v>
      </c>
      <c r="B13" s="170"/>
      <c r="C13" s="170"/>
      <c r="D13" s="170"/>
      <c r="E13" s="170"/>
      <c r="F13" s="255"/>
      <c r="G13" s="170"/>
      <c r="H13" s="170"/>
      <c r="I13" s="170"/>
      <c r="J13" s="170"/>
      <c r="K13" s="170"/>
      <c r="L13" s="170"/>
      <c r="M13" s="170"/>
      <c r="N13" s="170"/>
      <c r="O13" s="170"/>
      <c r="P13" s="228"/>
      <c r="Q13" s="171"/>
      <c r="R13" s="172"/>
    </row>
    <row r="14" spans="1:18" hidden="1">
      <c r="A14" s="193" t="s">
        <v>2</v>
      </c>
      <c r="B14" s="193" t="s">
        <v>3</v>
      </c>
      <c r="C14" s="193" t="s">
        <v>4</v>
      </c>
      <c r="D14" s="193" t="s">
        <v>5</v>
      </c>
      <c r="E14" s="193" t="s">
        <v>6</v>
      </c>
      <c r="F14" s="193" t="s">
        <v>7</v>
      </c>
      <c r="G14" s="193" t="s">
        <v>8</v>
      </c>
      <c r="H14" s="193" t="s">
        <v>9</v>
      </c>
      <c r="I14" s="193" t="s">
        <v>10</v>
      </c>
      <c r="J14" s="193" t="s">
        <v>247</v>
      </c>
      <c r="K14" s="216" t="s">
        <v>234</v>
      </c>
      <c r="L14" s="216" t="s">
        <v>235</v>
      </c>
      <c r="M14" s="216" t="s">
        <v>236</v>
      </c>
      <c r="N14" s="216" t="s">
        <v>237</v>
      </c>
      <c r="O14" s="216"/>
      <c r="P14" s="230" t="s">
        <v>238</v>
      </c>
      <c r="Q14" s="231" t="s">
        <v>248</v>
      </c>
      <c r="R14" s="232" t="s">
        <v>240</v>
      </c>
    </row>
    <row r="15" spans="1:18" hidden="1">
      <c r="A15" s="198" t="s">
        <v>96</v>
      </c>
      <c r="B15" s="198" t="s">
        <v>97</v>
      </c>
      <c r="C15" s="198" t="s">
        <v>98</v>
      </c>
      <c r="D15" s="198" t="s">
        <v>99</v>
      </c>
      <c r="E15" s="198" t="s">
        <v>18</v>
      </c>
      <c r="F15" s="198" t="s">
        <v>100</v>
      </c>
      <c r="G15" s="198" t="s">
        <v>20</v>
      </c>
      <c r="H15" s="200" t="s">
        <v>101</v>
      </c>
      <c r="I15" s="161">
        <v>45912</v>
      </c>
      <c r="J15" s="201" t="e">
        <f>SUM(K15:N15)</f>
        <v>#VALUE!</v>
      </c>
      <c r="K15" s="207">
        <f t="shared" ref="K15:N20" si="0">K3-$J3</f>
        <v>514</v>
      </c>
      <c r="L15" s="207" t="e">
        <f t="shared" si="0"/>
        <v>#VALUE!</v>
      </c>
      <c r="M15" s="207">
        <f t="shared" si="0"/>
        <v>1955</v>
      </c>
      <c r="N15" s="207">
        <f t="shared" si="0"/>
        <v>-4992</v>
      </c>
      <c r="O15" s="207"/>
      <c r="P15" s="141">
        <v>45891</v>
      </c>
      <c r="Q15" s="218"/>
      <c r="R15" s="98"/>
    </row>
    <row r="16" spans="1:18" hidden="1">
      <c r="A16" s="198" t="s">
        <v>14</v>
      </c>
      <c r="B16" s="198" t="s">
        <v>126</v>
      </c>
      <c r="C16" s="198" t="s">
        <v>32</v>
      </c>
      <c r="D16" s="198" t="s">
        <v>24</v>
      </c>
      <c r="E16" s="198" t="s">
        <v>18</v>
      </c>
      <c r="F16" s="198" t="s">
        <v>139</v>
      </c>
      <c r="G16" s="197" t="s">
        <v>20</v>
      </c>
      <c r="H16" s="199" t="s">
        <v>66</v>
      </c>
      <c r="I16" s="161">
        <v>45912</v>
      </c>
      <c r="J16" s="201">
        <f t="shared" ref="J16:J24" si="1">SUM(K16:N16)</f>
        <v>-49987</v>
      </c>
      <c r="K16" s="207">
        <f t="shared" si="0"/>
        <v>419</v>
      </c>
      <c r="L16" s="207">
        <f t="shared" si="0"/>
        <v>651</v>
      </c>
      <c r="M16" s="207">
        <f t="shared" si="0"/>
        <v>894</v>
      </c>
      <c r="N16" s="207">
        <f t="shared" si="0"/>
        <v>-51951</v>
      </c>
      <c r="O16" s="207"/>
      <c r="P16" s="141">
        <v>45896</v>
      </c>
      <c r="Q16" s="218" t="s">
        <v>120</v>
      </c>
      <c r="R16" s="99">
        <v>45921</v>
      </c>
    </row>
    <row r="17" spans="1:18" hidden="1">
      <c r="A17" s="198" t="s">
        <v>14</v>
      </c>
      <c r="B17" s="198" t="s">
        <v>92</v>
      </c>
      <c r="C17" s="198" t="s">
        <v>49</v>
      </c>
      <c r="D17" s="198" t="s">
        <v>24</v>
      </c>
      <c r="E17" s="198" t="s">
        <v>18</v>
      </c>
      <c r="F17" s="198" t="s">
        <v>93</v>
      </c>
      <c r="G17" s="198" t="s">
        <v>20</v>
      </c>
      <c r="H17" s="200" t="s">
        <v>94</v>
      </c>
      <c r="I17" s="161">
        <v>45912</v>
      </c>
      <c r="J17" s="201">
        <f t="shared" si="1"/>
        <v>-41179</v>
      </c>
      <c r="K17" s="207">
        <f t="shared" si="0"/>
        <v>374</v>
      </c>
      <c r="L17" s="207">
        <f t="shared" si="0"/>
        <v>1019</v>
      </c>
      <c r="M17" s="207">
        <f t="shared" si="0"/>
        <v>1355</v>
      </c>
      <c r="N17" s="207">
        <f t="shared" si="0"/>
        <v>-43927</v>
      </c>
      <c r="O17" s="207"/>
      <c r="P17" s="141">
        <v>45908</v>
      </c>
      <c r="Q17" s="182" t="s">
        <v>194</v>
      </c>
      <c r="R17" s="99">
        <v>45919</v>
      </c>
    </row>
    <row r="18" spans="1:18" hidden="1">
      <c r="A18" s="197" t="s">
        <v>14</v>
      </c>
      <c r="B18" s="197" t="s">
        <v>15</v>
      </c>
      <c r="C18" s="198" t="s">
        <v>16</v>
      </c>
      <c r="D18" s="197" t="s">
        <v>17</v>
      </c>
      <c r="E18" s="197" t="s">
        <v>18</v>
      </c>
      <c r="F18" s="197" t="s">
        <v>19</v>
      </c>
      <c r="G18" s="197" t="s">
        <v>20</v>
      </c>
      <c r="H18" s="199" t="s">
        <v>21</v>
      </c>
      <c r="I18" s="161">
        <v>45912</v>
      </c>
      <c r="J18" s="201">
        <f t="shared" si="1"/>
        <v>-65768</v>
      </c>
      <c r="K18" s="207">
        <f t="shared" si="0"/>
        <v>-57</v>
      </c>
      <c r="L18" s="207">
        <f t="shared" si="0"/>
        <v>1056</v>
      </c>
      <c r="M18" s="207">
        <f t="shared" si="0"/>
        <v>1422</v>
      </c>
      <c r="N18" s="207">
        <f t="shared" si="0"/>
        <v>-68189</v>
      </c>
      <c r="O18" s="207"/>
      <c r="P18" s="141">
        <v>45916</v>
      </c>
      <c r="Q18" s="182" t="s">
        <v>194</v>
      </c>
      <c r="R18" s="99">
        <v>45924</v>
      </c>
    </row>
    <row r="19" spans="1:18" hidden="1">
      <c r="A19" s="198" t="s">
        <v>14</v>
      </c>
      <c r="B19" s="198" t="s">
        <v>126</v>
      </c>
      <c r="C19" s="198" t="s">
        <v>23</v>
      </c>
      <c r="D19" s="198" t="s">
        <v>24</v>
      </c>
      <c r="E19" s="198" t="s">
        <v>18</v>
      </c>
      <c r="F19" s="198" t="s">
        <v>176</v>
      </c>
      <c r="G19" s="197" t="s">
        <v>20</v>
      </c>
      <c r="H19" s="199" t="s">
        <v>66</v>
      </c>
      <c r="I19" s="161">
        <v>45912</v>
      </c>
      <c r="J19" s="201">
        <f t="shared" si="1"/>
        <v>-39250</v>
      </c>
      <c r="K19" s="207">
        <f t="shared" si="0"/>
        <v>318</v>
      </c>
      <c r="L19" s="207">
        <f t="shared" si="0"/>
        <v>666</v>
      </c>
      <c r="M19" s="207">
        <f t="shared" si="0"/>
        <v>1090</v>
      </c>
      <c r="N19" s="207">
        <f t="shared" si="0"/>
        <v>-41324</v>
      </c>
      <c r="O19" s="207"/>
      <c r="P19" s="141">
        <v>45901</v>
      </c>
      <c r="Q19" s="182" t="s">
        <v>120</v>
      </c>
      <c r="R19" s="99">
        <v>45920</v>
      </c>
    </row>
    <row r="20" spans="1:18" hidden="1">
      <c r="A20" s="198" t="s">
        <v>14</v>
      </c>
      <c r="B20" s="198" t="s">
        <v>27</v>
      </c>
      <c r="C20" s="198" t="s">
        <v>28</v>
      </c>
      <c r="D20" s="198" t="s">
        <v>17</v>
      </c>
      <c r="E20" s="198" t="s">
        <v>18</v>
      </c>
      <c r="F20" s="198" t="s">
        <v>29</v>
      </c>
      <c r="G20" s="197" t="s">
        <v>20</v>
      </c>
      <c r="H20" s="199" t="s">
        <v>30</v>
      </c>
      <c r="I20" s="161">
        <v>45912</v>
      </c>
      <c r="J20" s="201">
        <f t="shared" si="1"/>
        <v>-827</v>
      </c>
      <c r="K20" s="207">
        <f t="shared" si="0"/>
        <v>483</v>
      </c>
      <c r="L20" s="207">
        <f t="shared" si="0"/>
        <v>857</v>
      </c>
      <c r="M20" s="207">
        <f t="shared" si="0"/>
        <v>1329</v>
      </c>
      <c r="N20" s="207">
        <f t="shared" si="0"/>
        <v>-3496</v>
      </c>
      <c r="O20" s="207"/>
      <c r="P20" s="141">
        <v>45904</v>
      </c>
      <c r="Q20" s="218" t="s">
        <v>120</v>
      </c>
      <c r="R20" s="99">
        <v>45926</v>
      </c>
    </row>
    <row r="21" spans="1:18" hidden="1">
      <c r="A21" s="197" t="s">
        <v>14</v>
      </c>
      <c r="B21" s="197" t="s">
        <v>126</v>
      </c>
      <c r="C21" s="198" t="s">
        <v>52</v>
      </c>
      <c r="D21" s="197" t="s">
        <v>24</v>
      </c>
      <c r="E21" s="197" t="s">
        <v>18</v>
      </c>
      <c r="F21" s="197" t="s">
        <v>167</v>
      </c>
      <c r="G21" s="197" t="s">
        <v>20</v>
      </c>
      <c r="H21" s="199" t="s">
        <v>132</v>
      </c>
      <c r="I21" s="161">
        <v>45912</v>
      </c>
      <c r="J21" s="201" t="e">
        <f t="shared" si="1"/>
        <v>#REF!</v>
      </c>
      <c r="K21" s="207" t="e">
        <f>K9-#REF!</f>
        <v>#REF!</v>
      </c>
      <c r="L21" s="207" t="e">
        <f>L9-#REF!</f>
        <v>#REF!</v>
      </c>
      <c r="M21" s="207" t="e">
        <f>M9-#REF!</f>
        <v>#REF!</v>
      </c>
      <c r="N21" s="207" t="e">
        <f>N9-#REF!</f>
        <v>#REF!</v>
      </c>
      <c r="O21" s="251"/>
      <c r="P21" s="59">
        <v>45905</v>
      </c>
      <c r="Q21" s="184" t="s">
        <v>120</v>
      </c>
      <c r="R21" s="99">
        <v>45924</v>
      </c>
    </row>
    <row r="22" spans="1:18" hidden="1">
      <c r="A22" s="198" t="s">
        <v>14</v>
      </c>
      <c r="B22" s="198" t="s">
        <v>164</v>
      </c>
      <c r="C22" s="198" t="s">
        <v>41</v>
      </c>
      <c r="D22" s="198" t="s">
        <v>165</v>
      </c>
      <c r="E22" s="198" t="s">
        <v>18</v>
      </c>
      <c r="F22" s="198" t="s">
        <v>166</v>
      </c>
      <c r="G22" s="198" t="s">
        <v>20</v>
      </c>
      <c r="H22" s="200" t="s">
        <v>91</v>
      </c>
      <c r="I22" s="161">
        <v>45912</v>
      </c>
      <c r="J22" s="201">
        <f t="shared" si="1"/>
        <v>115848</v>
      </c>
      <c r="K22" s="207">
        <f>K10-$J9</f>
        <v>40608</v>
      </c>
      <c r="L22" s="207">
        <f>L10-$J9</f>
        <v>41090</v>
      </c>
      <c r="M22" s="207">
        <f>M10-$J9</f>
        <v>41318</v>
      </c>
      <c r="N22" s="207">
        <f>N10-$J9</f>
        <v>-7168</v>
      </c>
      <c r="O22" s="207"/>
      <c r="P22" s="141">
        <v>45918</v>
      </c>
      <c r="Q22" s="184" t="s">
        <v>194</v>
      </c>
      <c r="R22" s="99">
        <v>45923</v>
      </c>
    </row>
    <row r="23" spans="1:18" hidden="1">
      <c r="A23" s="209" t="s">
        <v>14</v>
      </c>
      <c r="B23" s="209" t="s">
        <v>31</v>
      </c>
      <c r="C23" s="209" t="s">
        <v>47</v>
      </c>
      <c r="D23" s="209" t="s">
        <v>24</v>
      </c>
      <c r="E23" s="209" t="s">
        <v>18</v>
      </c>
      <c r="F23" s="209" t="s">
        <v>180</v>
      </c>
      <c r="G23" s="209" t="s">
        <v>20</v>
      </c>
      <c r="H23" s="217" t="s">
        <v>163</v>
      </c>
      <c r="I23" s="161">
        <v>45912</v>
      </c>
      <c r="J23" s="201" t="e">
        <f t="shared" si="1"/>
        <v>#REF!</v>
      </c>
      <c r="K23" s="207" t="e">
        <f>#REF!-#REF!</f>
        <v>#REF!</v>
      </c>
      <c r="L23" s="207" t="e">
        <f>#REF!-#REF!</f>
        <v>#REF!</v>
      </c>
      <c r="M23" s="207" t="e">
        <f>#REF!-#REF!</f>
        <v>#REF!</v>
      </c>
      <c r="N23" s="207" t="e">
        <f>#REF!-#REF!</f>
        <v>#REF!</v>
      </c>
      <c r="O23" s="207"/>
      <c r="P23" s="141">
        <v>45901</v>
      </c>
      <c r="Q23" s="184" t="s">
        <v>120</v>
      </c>
      <c r="R23" s="99">
        <v>45922</v>
      </c>
    </row>
    <row r="24" spans="1:18" hidden="1">
      <c r="A24" s="202" t="s">
        <v>14</v>
      </c>
      <c r="B24" s="204" t="s">
        <v>31</v>
      </c>
      <c r="C24" s="204" t="s">
        <v>168</v>
      </c>
      <c r="D24" s="202" t="s">
        <v>165</v>
      </c>
      <c r="E24" s="202" t="s">
        <v>18</v>
      </c>
      <c r="F24" s="202" t="s">
        <v>169</v>
      </c>
      <c r="G24" s="202" t="s">
        <v>20</v>
      </c>
      <c r="H24" s="202" t="s">
        <v>91</v>
      </c>
      <c r="I24" s="161">
        <v>45912</v>
      </c>
      <c r="J24" s="201">
        <f t="shared" si="1"/>
        <v>-139944</v>
      </c>
      <c r="K24" s="207">
        <f t="shared" ref="K24" si="2">K11-$J11</f>
        <v>1101</v>
      </c>
      <c r="L24" s="207">
        <f t="shared" ref="L24:N24" si="3">L11-$J11</f>
        <v>1888</v>
      </c>
      <c r="M24" s="207">
        <f t="shared" si="3"/>
        <v>2735</v>
      </c>
      <c r="N24" s="207">
        <f t="shared" si="3"/>
        <v>-145668</v>
      </c>
      <c r="O24" s="207"/>
      <c r="P24" s="141">
        <v>45905</v>
      </c>
      <c r="Q24" s="184" t="s">
        <v>120</v>
      </c>
      <c r="R24" s="99">
        <v>45922</v>
      </c>
    </row>
    <row r="25" spans="1:18" ht="14.95" thickBot="1"/>
    <row r="26" spans="1:18" ht="28.55">
      <c r="A26" s="319" t="s">
        <v>249</v>
      </c>
      <c r="B26" s="320"/>
      <c r="C26" s="320"/>
      <c r="D26" s="320"/>
      <c r="E26" s="320"/>
      <c r="F26" s="226"/>
      <c r="G26" s="250" t="s">
        <v>238</v>
      </c>
      <c r="H26" s="259" t="s">
        <v>257</v>
      </c>
    </row>
    <row r="27" spans="1:18" ht="14.95" thickBot="1">
      <c r="A27" s="227" t="s">
        <v>250</v>
      </c>
      <c r="B27" s="222" t="s">
        <v>234</v>
      </c>
      <c r="C27" s="222" t="s">
        <v>235</v>
      </c>
      <c r="D27" s="222" t="s">
        <v>236</v>
      </c>
      <c r="E27" s="223" t="s">
        <v>237</v>
      </c>
      <c r="F27" s="223" t="s">
        <v>254</v>
      </c>
      <c r="G27" s="224" t="s">
        <v>251</v>
      </c>
      <c r="H27" s="225"/>
      <c r="P27"/>
      <c r="Q27" s="229"/>
    </row>
    <row r="28" spans="1:18" ht="14.95" thickBot="1">
      <c r="A28" s="252" t="s">
        <v>98</v>
      </c>
      <c r="B28" s="253">
        <f t="shared" ref="B28:F33" si="4">K3-J3</f>
        <v>514</v>
      </c>
      <c r="C28" s="254" t="e">
        <f t="shared" si="4"/>
        <v>#VALUE!</v>
      </c>
      <c r="D28" s="254" t="e">
        <f t="shared" si="4"/>
        <v>#VALUE!</v>
      </c>
      <c r="E28" s="254">
        <f t="shared" si="4"/>
        <v>-6947</v>
      </c>
      <c r="F28" s="254">
        <f t="shared" si="4"/>
        <v>0</v>
      </c>
      <c r="G28" s="257" t="e">
        <f>SUM(B28:F28)</f>
        <v>#VALUE!</v>
      </c>
      <c r="H28" s="239" t="str">
        <f t="shared" ref="H28:H36" si="5">R3</f>
        <v>19.06.2026</v>
      </c>
      <c r="P28"/>
      <c r="Q28" s="229"/>
    </row>
    <row r="29" spans="1:18" ht="14.95" thickBot="1">
      <c r="A29" s="219" t="s">
        <v>32</v>
      </c>
      <c r="B29" s="253">
        <f t="shared" si="4"/>
        <v>419</v>
      </c>
      <c r="C29" s="254">
        <f t="shared" si="4"/>
        <v>232</v>
      </c>
      <c r="D29" s="254">
        <f t="shared" si="4"/>
        <v>243</v>
      </c>
      <c r="E29" s="254">
        <f t="shared" si="4"/>
        <v>-52845</v>
      </c>
      <c r="F29" s="254">
        <f t="shared" si="4"/>
        <v>0</v>
      </c>
      <c r="G29" s="257">
        <f>SUM(B29:F29)</f>
        <v>-51951</v>
      </c>
      <c r="H29" s="239" t="str">
        <f t="shared" si="5"/>
        <v>17.06.2026</v>
      </c>
      <c r="P29"/>
      <c r="Q29" s="229"/>
    </row>
    <row r="30" spans="1:18" ht="14.95" thickBot="1">
      <c r="A30" s="219" t="s">
        <v>49</v>
      </c>
      <c r="B30" s="253">
        <f t="shared" si="4"/>
        <v>374</v>
      </c>
      <c r="C30" s="254">
        <f t="shared" si="4"/>
        <v>645</v>
      </c>
      <c r="D30" s="254">
        <f t="shared" si="4"/>
        <v>336</v>
      </c>
      <c r="E30" s="254">
        <f t="shared" si="4"/>
        <v>-45282</v>
      </c>
      <c r="F30" s="254">
        <f t="shared" si="4"/>
        <v>0</v>
      </c>
      <c r="G30" s="257">
        <f t="shared" ref="G30:G36" si="6">SUM(B30:F30)</f>
        <v>-43927</v>
      </c>
      <c r="H30" s="239" t="str">
        <f t="shared" si="5"/>
        <v>19.06.2026</v>
      </c>
      <c r="P30"/>
      <c r="Q30" s="229"/>
    </row>
    <row r="31" spans="1:18" ht="14.95" thickBot="1">
      <c r="A31" s="219" t="s">
        <v>16</v>
      </c>
      <c r="B31" s="253">
        <f t="shared" si="4"/>
        <v>-57</v>
      </c>
      <c r="C31" s="254">
        <f t="shared" si="4"/>
        <v>1113</v>
      </c>
      <c r="D31" s="254">
        <f t="shared" si="4"/>
        <v>366</v>
      </c>
      <c r="E31" s="254">
        <f t="shared" si="4"/>
        <v>-69611</v>
      </c>
      <c r="F31" s="254">
        <f t="shared" si="4"/>
        <v>0</v>
      </c>
      <c r="G31" s="257">
        <f t="shared" si="6"/>
        <v>-68189</v>
      </c>
      <c r="H31" s="239">
        <f t="shared" si="5"/>
        <v>0</v>
      </c>
      <c r="P31"/>
      <c r="Q31" s="229"/>
    </row>
    <row r="32" spans="1:18" ht="14.95" thickBot="1">
      <c r="A32" s="219" t="s">
        <v>23</v>
      </c>
      <c r="B32" s="253">
        <f t="shared" si="4"/>
        <v>318</v>
      </c>
      <c r="C32" s="254">
        <f t="shared" si="4"/>
        <v>348</v>
      </c>
      <c r="D32" s="254">
        <f t="shared" si="4"/>
        <v>424</v>
      </c>
      <c r="E32" s="254">
        <f t="shared" si="4"/>
        <v>-42414</v>
      </c>
      <c r="F32" s="254">
        <f t="shared" si="4"/>
        <v>0</v>
      </c>
      <c r="G32" s="257">
        <f t="shared" si="6"/>
        <v>-41324</v>
      </c>
      <c r="H32" s="239">
        <f t="shared" si="5"/>
        <v>0</v>
      </c>
      <c r="P32"/>
      <c r="Q32" s="229"/>
    </row>
    <row r="33" spans="1:17" ht="14.95" thickBot="1">
      <c r="A33" s="219" t="s">
        <v>28</v>
      </c>
      <c r="B33" s="253">
        <f t="shared" si="4"/>
        <v>483</v>
      </c>
      <c r="C33" s="254">
        <f t="shared" si="4"/>
        <v>374</v>
      </c>
      <c r="D33" s="254">
        <f t="shared" si="4"/>
        <v>472</v>
      </c>
      <c r="E33" s="254">
        <f t="shared" si="4"/>
        <v>-4825</v>
      </c>
      <c r="F33" s="254">
        <f t="shared" si="4"/>
        <v>0</v>
      </c>
      <c r="G33" s="257">
        <f t="shared" si="6"/>
        <v>-3496</v>
      </c>
      <c r="H33" s="239" t="str">
        <f t="shared" si="5"/>
        <v>30.01.2026</v>
      </c>
      <c r="P33"/>
      <c r="Q33" s="229"/>
    </row>
    <row r="34" spans="1:17" ht="14.95" thickBot="1">
      <c r="A34" s="219" t="s">
        <v>52</v>
      </c>
      <c r="B34" s="253" t="e">
        <f>K9-#REF!</f>
        <v>#REF!</v>
      </c>
      <c r="C34" s="254">
        <f t="shared" ref="C34:F36" si="7">L9-K9</f>
        <v>590</v>
      </c>
      <c r="D34" s="254">
        <f t="shared" si="7"/>
        <v>310</v>
      </c>
      <c r="E34" s="254">
        <f t="shared" si="7"/>
        <v>-8405</v>
      </c>
      <c r="F34" s="254">
        <f t="shared" si="7"/>
        <v>0</v>
      </c>
      <c r="G34" s="257" t="e">
        <f t="shared" si="6"/>
        <v>#REF!</v>
      </c>
      <c r="H34" s="239" t="str">
        <f t="shared" si="5"/>
        <v>19.06.2026</v>
      </c>
      <c r="P34"/>
      <c r="Q34" s="229"/>
    </row>
    <row r="35" spans="1:17" ht="14.95" thickBot="1">
      <c r="A35" s="219" t="s">
        <v>41</v>
      </c>
      <c r="B35" s="253">
        <f>K10-J9</f>
        <v>40608</v>
      </c>
      <c r="C35" s="254">
        <f t="shared" si="7"/>
        <v>482</v>
      </c>
      <c r="D35" s="254">
        <f t="shared" si="7"/>
        <v>228</v>
      </c>
      <c r="E35" s="254">
        <f t="shared" si="7"/>
        <v>-48486</v>
      </c>
      <c r="F35" s="254">
        <f t="shared" si="7"/>
        <v>0</v>
      </c>
      <c r="G35" s="257">
        <f t="shared" si="6"/>
        <v>-7168</v>
      </c>
      <c r="H35" s="239" t="str">
        <f t="shared" si="5"/>
        <v>19.06.2026</v>
      </c>
      <c r="P35"/>
      <c r="Q35" s="229"/>
    </row>
    <row r="36" spans="1:17" ht="14.95" thickBot="1">
      <c r="A36" s="221" t="s">
        <v>168</v>
      </c>
      <c r="B36" s="253">
        <f>K11-J11</f>
        <v>1101</v>
      </c>
      <c r="C36" s="254">
        <f t="shared" si="7"/>
        <v>787</v>
      </c>
      <c r="D36" s="254">
        <f t="shared" si="7"/>
        <v>847</v>
      </c>
      <c r="E36" s="254">
        <f t="shared" si="7"/>
        <v>-148403</v>
      </c>
      <c r="F36" s="254">
        <f t="shared" si="7"/>
        <v>0</v>
      </c>
      <c r="G36" s="257">
        <f t="shared" si="6"/>
        <v>-145668</v>
      </c>
      <c r="H36" s="239" t="str">
        <f t="shared" si="5"/>
        <v>09.04.2026</v>
      </c>
      <c r="P36"/>
      <c r="Q36" s="229"/>
    </row>
  </sheetData>
  <autoFilter ref="A2:R2">
    <sortState ref="A3:R12">
      <sortCondition ref="C2"/>
    </sortState>
  </autoFilter>
  <mergeCells count="1">
    <mergeCell ref="A26:E26"/>
  </mergeCells>
  <conditionalFormatting sqref="B28:B36 C29:E29 F29:G36 E30:E36">
    <cfRule type="cellIs" dxfId="15" priority="16" operator="between">
      <formula>1</formula>
      <formula>299</formula>
    </cfRule>
  </conditionalFormatting>
  <conditionalFormatting sqref="B28:G36">
    <cfRule type="cellIs" priority="17" operator="equal">
      <formula>0</formula>
    </cfRule>
  </conditionalFormatting>
  <conditionalFormatting sqref="C29:E29 F29:G36 E30:E36 B28:B36">
    <cfRule type="cellIs" dxfId="14" priority="14" operator="greaterThan">
      <formula>500</formula>
    </cfRule>
    <cfRule type="cellIs" dxfId="13" priority="15" operator="between">
      <formula>300</formula>
      <formula>500</formula>
    </cfRule>
  </conditionalFormatting>
  <conditionalFormatting sqref="C28:G36">
    <cfRule type="cellIs" dxfId="12" priority="11" operator="between">
      <formula>1</formula>
      <formula>600</formula>
    </cfRule>
    <cfRule type="cellIs" dxfId="11" priority="12" operator="between">
      <formula>600</formula>
      <formula>1000</formula>
    </cfRule>
    <cfRule type="cellIs" dxfId="10" priority="13" operator="greaterThan">
      <formula>1000</formula>
    </cfRule>
  </conditionalFormatting>
  <conditionalFormatting sqref="D28:G36">
    <cfRule type="cellIs" dxfId="9" priority="8" operator="greaterThan">
      <formula>1501</formula>
    </cfRule>
    <cfRule type="cellIs" dxfId="8" priority="9" operator="between">
      <formula>1</formula>
      <formula>900</formula>
    </cfRule>
    <cfRule type="cellIs" dxfId="7" priority="10" operator="between">
      <formula>900</formula>
      <formula>1500</formula>
    </cfRule>
  </conditionalFormatting>
  <conditionalFormatting sqref="E29:F36">
    <cfRule type="cellIs" dxfId="6" priority="7" operator="greaterThan">
      <formula>2000</formula>
    </cfRule>
  </conditionalFormatting>
  <conditionalFormatting sqref="G28:G36 E29:F36">
    <cfRule type="cellIs" dxfId="5" priority="5" operator="between">
      <formula>1201</formula>
      <formula>2000</formula>
    </cfRule>
    <cfRule type="cellIs" dxfId="4" priority="6" operator="between">
      <formula>1</formula>
      <formula>1200</formula>
    </cfRule>
  </conditionalFormatting>
  <conditionalFormatting sqref="G28:G36">
    <cfRule type="cellIs" dxfId="3" priority="1" operator="between">
      <formula>1500</formula>
      <formula>2000</formula>
    </cfRule>
    <cfRule type="cellIs" dxfId="2" priority="2" operator="between">
      <formula>1200</formula>
      <formula>2000</formula>
    </cfRule>
    <cfRule type="cellIs" dxfId="1" priority="3" operator="greaterThan">
      <formula>2000</formula>
    </cfRule>
  </conditionalFormatting>
  <conditionalFormatting sqref="H28:H36">
    <cfRule type="cellIs" dxfId="0" priority="4" operator="lessThan">
      <formula>$H$27</formula>
    </cfRule>
  </conditionalFormatting>
  <pageMargins left="0.7" right="0.7" top="0.75" bottom="0.75" header="0.3" footer="0.3"/>
  <pageSetup scale="52" orientation="portrait" r:id="rId1"/>
  <colBreaks count="2" manualBreakCount="2">
    <brk id="6" max="36" man="1"/>
    <brk id="17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8F3E53A6E4D4ABECDF8F0052418BB" ma:contentTypeVersion="12" ma:contentTypeDescription="Crie um novo documento." ma:contentTypeScope="" ma:versionID="66d0e5eaadc5a11f38d96badbb24a54f">
  <xsd:schema xmlns:xsd="http://www.w3.org/2001/XMLSchema" xmlns:xs="http://www.w3.org/2001/XMLSchema" xmlns:p="http://schemas.microsoft.com/office/2006/metadata/properties" xmlns:ns2="3d6c3bb5-8e3f-4860-ab69-d385681e5b0a" xmlns:ns3="9dd269e9-7bd9-490b-9217-45250208781d" targetNamespace="http://schemas.microsoft.com/office/2006/metadata/properties" ma:root="true" ma:fieldsID="4c39bf84f3723a046e4dc2611f45749e" ns2:_="" ns3:_="">
    <xsd:import namespace="3d6c3bb5-8e3f-4860-ab69-d385681e5b0a"/>
    <xsd:import namespace="9dd269e9-7bd9-490b-9217-4525020878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c3bb5-8e3f-4860-ab69-d385681e5b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fb4e49-6f5d-460f-8245-f0e15177ea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d269e9-7bd9-490b-9217-4525020878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934d83-5f61-4f71-9e0d-5c1b103c0c60}" ma:internalName="TaxCatchAll" ma:showField="CatchAllData" ma:web="9dd269e9-7bd9-490b-9217-4525020878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d269e9-7bd9-490b-9217-45250208781d" xsi:nil="true"/>
    <lcf76f155ced4ddcb4097134ff3c332f xmlns="3d6c3bb5-8e3f-4860-ab69-d385681e5b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31095E-73F7-4E86-B766-F7C21F338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6c3bb5-8e3f-4860-ab69-d385681e5b0a"/>
    <ds:schemaRef ds:uri="9dd269e9-7bd9-490b-9217-4525020878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5517C0-574B-4D7A-ACAD-8B986AAFB9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5B5044-DD4A-487C-B497-493CA2E9B521}">
  <ds:schemaRefs>
    <ds:schemaRef ds:uri="http://schemas.microsoft.com/office/2006/metadata/properties"/>
    <ds:schemaRef ds:uri="http://schemas.microsoft.com/office/infopath/2007/PartnerControls"/>
    <ds:schemaRef ds:uri="9dd269e9-7bd9-490b-9217-45250208781d"/>
    <ds:schemaRef ds:uri="3d6c3bb5-8e3f-4860-ab69-d385681e5b0a"/>
  </ds:schemaRefs>
</ds:datastoreItem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48</vt:i4>
      </vt:variant>
    </vt:vector>
  </HeadingPairs>
  <TitlesOfParts>
    <vt:vector size="48" baseType="lpstr">
      <vt:lpstr>13 12</vt:lpstr>
      <vt:lpstr>20 12 (2)</vt:lpstr>
      <vt:lpstr>27 12 (3)</vt:lpstr>
      <vt:lpstr>03 01</vt:lpstr>
      <vt:lpstr>1701</vt:lpstr>
      <vt:lpstr>21 02</vt:lpstr>
      <vt:lpstr>14 02</vt:lpstr>
      <vt:lpstr>24 01</vt:lpstr>
      <vt:lpstr>31 01 (2)</vt:lpstr>
      <vt:lpstr>07 02</vt:lpstr>
      <vt:lpstr>07 03</vt:lpstr>
      <vt:lpstr>14 03</vt:lpstr>
      <vt:lpstr>21 03</vt:lpstr>
      <vt:lpstr>280 3</vt:lpstr>
      <vt:lpstr>04 04 </vt:lpstr>
      <vt:lpstr>17 04</vt:lpstr>
      <vt:lpstr>11 04</vt:lpstr>
      <vt:lpstr>25 04</vt:lpstr>
      <vt:lpstr>16 05</vt:lpstr>
      <vt:lpstr>30 04</vt:lpstr>
      <vt:lpstr>09 05</vt:lpstr>
      <vt:lpstr>23 05</vt:lpstr>
      <vt:lpstr>30 05</vt:lpstr>
      <vt:lpstr>06 06</vt:lpstr>
      <vt:lpstr>13 06</vt:lpstr>
      <vt:lpstr>18 06</vt:lpstr>
      <vt:lpstr>27 06</vt:lpstr>
      <vt:lpstr>04 07</vt:lpstr>
      <vt:lpstr>11 07</vt:lpstr>
      <vt:lpstr>18 07</vt:lpstr>
      <vt:lpstr>25 07 </vt:lpstr>
      <vt:lpstr>01 08</vt:lpstr>
      <vt:lpstr>08 08</vt:lpstr>
      <vt:lpstr>14 08</vt:lpstr>
      <vt:lpstr>22 08</vt:lpstr>
      <vt:lpstr>29 08</vt:lpstr>
      <vt:lpstr>12 09</vt:lpstr>
      <vt:lpstr>05 09</vt:lpstr>
      <vt:lpstr>OUTUBRO 2025</vt:lpstr>
      <vt:lpstr>NOVEMBRO 2025</vt:lpstr>
      <vt:lpstr>JANEIRO</vt:lpstr>
      <vt:lpstr>FEVEREIRO</vt:lpstr>
      <vt:lpstr>MARÇO </vt:lpstr>
      <vt:lpstr>ABRIL </vt:lpstr>
      <vt:lpstr>MAIO </vt:lpstr>
      <vt:lpstr>JUNHO</vt:lpstr>
      <vt:lpstr>JULHO</vt:lpstr>
      <vt:lpstr>AGOSTO</vt:lpstr>
    </vt:vector>
  </TitlesOfParts>
  <Manager/>
  <Company>Vale S.A.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Rizolene do Amaral Barbosa_CONTR</dc:creator>
  <cp:keywords/>
  <dc:description/>
  <cp:lastModifiedBy>Meu Computador</cp:lastModifiedBy>
  <cp:revision/>
  <dcterms:created xsi:type="dcterms:W3CDTF">2024-01-08T15:46:46Z</dcterms:created>
  <dcterms:modified xsi:type="dcterms:W3CDTF">2026-08-29T19:44:17Z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0x0101006828F3E53A6E4D4ABECDF8F0052418BB</vt:lpwstr>
  </property>
  <property fmtid="{D5CDD505-2E9C-101B-9397-08002B2CF9AE}" pid="3" name="MediaServiceImageTags">
    <vt:lpwstr/>
  </property>
</Properties>
</file>