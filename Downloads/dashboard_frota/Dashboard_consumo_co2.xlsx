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u Computador\Downloads\"/>
    </mc:Choice>
  </mc:AlternateContent>
  <bookViews>
    <workbookView xWindow="0" yWindow="0" windowWidth="13884" windowHeight="5257"/>
  </bookViews>
  <sheets>
    <sheet name="Fatores de Emissão" sheetId="1" r:id="rId1"/>
    <sheet name="Registro Mensal" sheetId="2" r:id="rId2"/>
    <sheet name="Dashboard ES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F3" i="3"/>
  <c r="F2" i="3"/>
  <c r="F5" i="2"/>
  <c r="F4" i="2"/>
  <c r="F3" i="2"/>
  <c r="C3" i="3" l="1"/>
  <c r="C2" i="3"/>
</calcChain>
</file>

<file path=xl/sharedStrings.xml><?xml version="1.0" encoding="utf-8"?>
<sst xmlns="http://schemas.openxmlformats.org/spreadsheetml/2006/main" count="38" uniqueCount="30">
  <si>
    <t>Fonte de Emissão</t>
  </si>
  <si>
    <t>Unidade</t>
  </si>
  <si>
    <t>Fator de Emissão (kgCO2e)</t>
  </si>
  <si>
    <t>Referência</t>
  </si>
  <si>
    <t>Diesel (Geradores/Frota)</t>
  </si>
  <si>
    <t>Litros</t>
  </si>
  <si>
    <t>MCTI - Setor Energia</t>
  </si>
  <si>
    <t>Gasolina (Frota)</t>
  </si>
  <si>
    <t>Energia Elétrica (Rede)</t>
  </si>
  <si>
    <t>kWh</t>
  </si>
  <si>
    <t>Sinocre - Média Brasil</t>
  </si>
  <si>
    <t>Fatores de Emissão</t>
  </si>
  <si>
    <t>Registro Mensal</t>
  </si>
  <si>
    <t>Mês/Ano</t>
  </si>
  <si>
    <t>Fonte (Diesel, Gasolina, Energia)</t>
  </si>
  <si>
    <t>Atividade (Ex: Gerador Site A, Frota Manutenção Fibra, Rack LTE</t>
  </si>
  <si>
    <t>Quantidade Consumida</t>
  </si>
  <si>
    <t>Unidade (Litros, kWh)</t>
  </si>
  <si>
    <t>Emissão Calculada (kgCO2e)</t>
  </si>
  <si>
    <t>Diesel</t>
  </si>
  <si>
    <t>Gerador Site LTE Mina Norte</t>
  </si>
  <si>
    <t>Gasolina</t>
  </si>
  <si>
    <t>Frota Van Técnicos Fibra</t>
  </si>
  <si>
    <t>Energia</t>
  </si>
  <si>
    <t>Rack Telecom Parada Técnica</t>
  </si>
  <si>
    <t>Dashboard ESG</t>
  </si>
  <si>
    <t>Emissão Total Acumulada (kgCO2e):</t>
  </si>
  <si>
    <t>Média Mensal de Emissão (kgCO2e):</t>
  </si>
  <si>
    <t>Fonte</t>
  </si>
  <si>
    <t>Emissão (kgCO2e)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</si>
</sst>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.6"/>
      <color rgb="FF101828"/>
      <name val="Segoe UI"/>
      <family val="2"/>
    </font>
    <font>
      <sz val="10"/>
      <color rgb="FF101828"/>
      <name val="Segoe UI"/>
      <family val="2"/>
    </font>
    <font>
      <sz val="9.6"/>
      <color rgb="FF171717"/>
      <name val="Segoe UI"/>
      <family val="2"/>
    </font>
    <font>
      <sz val="10"/>
      <color rgb="FF171717"/>
      <name val="Segoe UI"/>
      <family val="2"/>
    </font>
    <font>
      <sz val="12"/>
      <color rgb="FF000000"/>
      <name val="Segoe UI"/>
      <family val="2"/>
    </font>
    <font>
      <sz val="11"/>
      <color rgb="FF0D0D0D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/>
    <xf numFmtId="0" fontId="4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/>
    <xf numFmtId="17" fontId="4" fillId="0" borderId="1" xfId="0" applyNumberFormat="1" applyFont="1" applyBorder="1"/>
    <xf numFmtId="0" fontId="0" fillId="0" borderId="1" xfId="0" applyBorder="1"/>
    <xf numFmtId="17" fontId="3" fillId="2" borderId="1" xfId="0" applyNumberFormat="1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ESG'!$F$1</c:f>
              <c:strCache>
                <c:ptCount val="1"/>
                <c:pt idx="0">
                  <c:v>Emissão (kgCO2e)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ESG'!$E$2:$E$4</c:f>
              <c:strCache>
                <c:ptCount val="3"/>
                <c:pt idx="0">
                  <c:v>Diesel</c:v>
                </c:pt>
                <c:pt idx="1">
                  <c:v>Gasolina</c:v>
                </c:pt>
                <c:pt idx="2">
                  <c:v>Energia</c:v>
                </c:pt>
              </c:strCache>
            </c:strRef>
          </c:cat>
          <c:val>
            <c:numRef>
              <c:f>'Dashboard ESG'!$F$2:$F$4</c:f>
              <c:numCache>
                <c:formatCode>General</c:formatCode>
                <c:ptCount val="3"/>
                <c:pt idx="0">
                  <c:v>1340</c:v>
                </c:pt>
                <c:pt idx="1">
                  <c:v>432</c:v>
                </c:pt>
                <c:pt idx="2">
                  <c:v>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287872"/>
        <c:axId val="7291792"/>
        <c:axId val="0"/>
      </c:bar3DChart>
      <c:catAx>
        <c:axId val="728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1792"/>
        <c:crosses val="autoZero"/>
        <c:auto val="1"/>
        <c:lblAlgn val="ctr"/>
        <c:lblOffset val="100"/>
        <c:noMultiLvlLbl val="0"/>
      </c:catAx>
      <c:valAx>
        <c:axId val="72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7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34505</xdr:colOff>
      <xdr:row>6</xdr:row>
      <xdr:rowOff>12939</xdr:rowOff>
    </xdr:from>
    <xdr:to>
      <xdr:col>3</xdr:col>
      <xdr:colOff>552090</xdr:colOff>
      <xdr:row>21</xdr:row>
      <xdr:rowOff>38819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4.3" x14ac:dyDescent="0.25"/>
  <cols>
    <col min="1" max="1" width="21.625" bestFit="1" customWidth="1"/>
    <col min="3" max="3" width="23.625" bestFit="1" customWidth="1"/>
    <col min="4" max="4" width="18.25" bestFit="1" customWidth="1"/>
  </cols>
  <sheetData>
    <row r="1" spans="1:4" ht="19.05" x14ac:dyDescent="0.25">
      <c r="A1" s="5" t="s">
        <v>11</v>
      </c>
    </row>
    <row r="2" spans="1:4" ht="28.55" customHeight="1" x14ac:dyDescent="0.3">
      <c r="A2" s="1" t="s">
        <v>0</v>
      </c>
      <c r="B2" s="1" t="s">
        <v>1</v>
      </c>
      <c r="C2" s="2" t="s">
        <v>2</v>
      </c>
      <c r="D2" s="2" t="s">
        <v>3</v>
      </c>
    </row>
    <row r="3" spans="1:4" ht="14.95" x14ac:dyDescent="0.3">
      <c r="A3" s="3" t="s">
        <v>4</v>
      </c>
      <c r="B3" s="3" t="s">
        <v>5</v>
      </c>
      <c r="C3" s="3">
        <v>2.68</v>
      </c>
      <c r="D3" s="3" t="s">
        <v>6</v>
      </c>
    </row>
    <row r="4" spans="1:4" x14ac:dyDescent="0.25">
      <c r="A4" s="4" t="s">
        <v>7</v>
      </c>
      <c r="B4" s="4" t="s">
        <v>5</v>
      </c>
      <c r="C4" s="4">
        <v>2.16</v>
      </c>
      <c r="D4" s="4" t="s">
        <v>6</v>
      </c>
    </row>
    <row r="5" spans="1:4" x14ac:dyDescent="0.25">
      <c r="A5" s="4" t="s">
        <v>8</v>
      </c>
      <c r="B5" s="4" t="s">
        <v>9</v>
      </c>
      <c r="C5" s="4">
        <v>0.05</v>
      </c>
      <c r="D5" s="4" t="s">
        <v>10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19" sqref="F19"/>
    </sheetView>
  </sheetViews>
  <sheetFormatPr defaultRowHeight="14.3" x14ac:dyDescent="0.25"/>
  <cols>
    <col min="1" max="1" width="17.125" bestFit="1" customWidth="1"/>
    <col min="2" max="2" width="29.25" bestFit="1" customWidth="1"/>
    <col min="3" max="3" width="57.125" bestFit="1" customWidth="1"/>
    <col min="4" max="4" width="22" bestFit="1" customWidth="1"/>
    <col min="5" max="5" width="20.125" bestFit="1" customWidth="1"/>
    <col min="6" max="6" width="26.375" bestFit="1" customWidth="1"/>
  </cols>
  <sheetData>
    <row r="1" spans="1:6" ht="19.05" x14ac:dyDescent="0.25">
      <c r="A1" s="5" t="s">
        <v>12</v>
      </c>
    </row>
    <row r="2" spans="1:6" ht="15.65" x14ac:dyDescent="0.3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</row>
    <row r="3" spans="1:6" ht="14.95" x14ac:dyDescent="0.3">
      <c r="A3" s="8">
        <v>45200</v>
      </c>
      <c r="B3" s="4" t="s">
        <v>19</v>
      </c>
      <c r="C3" s="3" t="s">
        <v>20</v>
      </c>
      <c r="D3" s="3">
        <v>500</v>
      </c>
      <c r="E3" s="3" t="s">
        <v>5</v>
      </c>
      <c r="F3" s="9">
        <f>IF(B3="Diesel",D3*2.68,IF(B3="Gasolina",D3*2.16,IF(B3="Energia",D3*0.05,0)))</f>
        <v>1340</v>
      </c>
    </row>
    <row r="4" spans="1:6" x14ac:dyDescent="0.25">
      <c r="A4" s="10">
        <v>45200</v>
      </c>
      <c r="B4" s="4" t="s">
        <v>21</v>
      </c>
      <c r="C4" s="4" t="s">
        <v>22</v>
      </c>
      <c r="D4" s="4">
        <v>200</v>
      </c>
      <c r="E4" s="4" t="s">
        <v>5</v>
      </c>
      <c r="F4" s="9">
        <f>IF(B4="Diesel",D4*2.68,IF(B4="Gasolina",D4*2.16,IF(B4="Energia",D4*0.05,0)))</f>
        <v>432</v>
      </c>
    </row>
    <row r="5" spans="1:6" x14ac:dyDescent="0.25">
      <c r="A5" s="10">
        <v>45200</v>
      </c>
      <c r="B5" s="4" t="s">
        <v>23</v>
      </c>
      <c r="C5" s="4" t="s">
        <v>24</v>
      </c>
      <c r="D5" s="4">
        <v>1500</v>
      </c>
      <c r="E5" s="4" t="s">
        <v>9</v>
      </c>
      <c r="F5" s="9">
        <f>IF(B5="Diesel",D5*2.68,IF(B5="Gasolina",D5*2.16,IF(B5="Energia",D5*0.05,0)))</f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M20" sqref="M20"/>
    </sheetView>
  </sheetViews>
  <sheetFormatPr defaultRowHeight="14.3" x14ac:dyDescent="0.25"/>
  <cols>
    <col min="1" max="1" width="16.75" bestFit="1" customWidth="1"/>
    <col min="2" max="2" width="33" bestFit="1" customWidth="1"/>
    <col min="6" max="6" width="17.125" bestFit="1" customWidth="1"/>
  </cols>
  <sheetData>
    <row r="1" spans="1:6" ht="19.05" x14ac:dyDescent="0.3">
      <c r="A1" s="5" t="s">
        <v>25</v>
      </c>
      <c r="E1" s="11" t="s">
        <v>28</v>
      </c>
      <c r="F1" s="11" t="s">
        <v>29</v>
      </c>
    </row>
    <row r="2" spans="1:6" ht="15.65" x14ac:dyDescent="0.3">
      <c r="A2" s="9"/>
      <c r="B2" s="7" t="s">
        <v>26</v>
      </c>
      <c r="C2" s="9">
        <f>SUM('Registro Mensal'!F:F)</f>
        <v>1847</v>
      </c>
      <c r="E2" s="11" t="s">
        <v>19</v>
      </c>
      <c r="F2">
        <f>'Registro Mensal'!F3</f>
        <v>1340</v>
      </c>
    </row>
    <row r="3" spans="1:6" ht="15.65" x14ac:dyDescent="0.3">
      <c r="A3" s="9"/>
      <c r="B3" s="7" t="s">
        <v>27</v>
      </c>
      <c r="C3" s="9">
        <f>AVERAGE('Registro Mensal'!F:F)</f>
        <v>615.66666666666663</v>
      </c>
      <c r="E3" s="11" t="s">
        <v>21</v>
      </c>
      <c r="F3">
        <f>'Registro Mensal'!F4</f>
        <v>432</v>
      </c>
    </row>
    <row r="4" spans="1:6" ht="15.65" x14ac:dyDescent="0.3">
      <c r="B4" s="6"/>
      <c r="E4" s="11" t="s">
        <v>23</v>
      </c>
      <c r="F4">
        <f>'Registro Mensal'!F5</f>
        <v>75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Fatores de Emissão</vt:lpstr>
      <vt:lpstr>Registro Mensal</vt:lpstr>
      <vt:lpstr>Dashboard ESG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Computador</dc:creator>
  <cp:lastModifiedBy>Meu Computador</cp:lastModifiedBy>
  <dcterms:created xsi:type="dcterms:W3CDTF">2026-08-26T23:19:59Z</dcterms:created>
  <dcterms:modified xsi:type="dcterms:W3CDTF">2026-08-27T01:18:23Z</dcterms:modified>
</cp:coreProperties>
</file>